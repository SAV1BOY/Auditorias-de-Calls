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Checklist por Fase" sheetId="2" state="visible" r:id="rId4"/>
    <sheet name="Exemplo - Call Elane" sheetId="3" state="visible" r:id="rId5"/>
    <sheet name="Histórico de Calls" sheetId="4" state="visible" r:id="rId6"/>
    <sheet name="Referência Rápi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<sst xmlns="http://schemas.openxmlformats.org/spreadsheetml/2006/main" count="339" uniqueCount="255">
  <si>
    <t xml:space="preserve">SCORECARD DE AUDITORIA — CALL DE FECHAMENTO</t>
  </si>
  <si>
    <t xml:space="preserve">Protocolo de Elite • 13 Dimensões • Score Ponderado Automático</t>
  </si>
  <si>
    <t xml:space="preserve">Nome do Closer:</t>
  </si>
  <si>
    <t xml:space="preserve">SCORE FINAL PONDERADO</t>
  </si>
  <si>
    <t xml:space="preserve">CLASSIFICAÇÃO</t>
  </si>
  <si>
    <t xml:space="preserve">Nome do Lead:</t>
  </si>
  <si>
    <t xml:space="preserve">Data da Call:</t>
  </si>
  <si>
    <t xml:space="preserve">Duração (min):</t>
  </si>
  <si>
    <t xml:space="preserve">Resultado:</t>
  </si>
  <si>
    <t xml:space="preserve">#</t>
  </si>
  <si>
    <t xml:space="preserve">Dimensão</t>
  </si>
  <si>
    <t xml:space="preserve">Peso</t>
  </si>
  <si>
    <t xml:space="preserve">Nota (0-10)</t>
  </si>
  <si>
    <t xml:space="preserve">Nota Ponderada</t>
  </si>
  <si>
    <t xml:space="preserve">Critério de 10/10</t>
  </si>
  <si>
    <t xml:space="preserve">Observações / Evidências</t>
  </si>
  <si>
    <t xml:space="preserve">Fase</t>
  </si>
  <si>
    <t xml:space="preserve">1</t>
  </si>
  <si>
    <t xml:space="preserve">Frame e Liderança</t>
  </si>
  <si>
    <t xml:space="preserve">8%</t>
  </si>
  <si>
    <t xml:space="preserve">Agenda &lt;3min, postura autoridade, pactos instalados</t>
  </si>
  <si>
    <t xml:space="preserve">Fase 1</t>
  </si>
  <si>
    <t xml:space="preserve">2</t>
  </si>
  <si>
    <t xml:space="preserve">Qualificação Preliminar</t>
  </si>
  <si>
    <t xml:space="preserve">10%</t>
  </si>
  <si>
    <t xml:space="preserve">Budget, decisor, urgência obtidos antes da apresentação</t>
  </si>
  <si>
    <t xml:space="preserve">3</t>
  </si>
  <si>
    <t xml:space="preserve">Diagnóstico Quantitativo</t>
  </si>
  <si>
    <t xml:space="preserve">12%</t>
  </si>
  <si>
    <t xml:space="preserve">≥5 métricas objetivas (ticket, CAC, conversão, volume, margem)</t>
  </si>
  <si>
    <t xml:space="preserve">Fase 2</t>
  </si>
  <si>
    <t xml:space="preserve">4</t>
  </si>
  <si>
    <t xml:space="preserve">Diagnóstico Qualitativo</t>
  </si>
  <si>
    <t xml:space="preserve">Lead verbalizou dor com suas palavras</t>
  </si>
  <si>
    <t xml:space="preserve">5</t>
  </si>
  <si>
    <t xml:space="preserve">Perguntas de Consequência</t>
  </si>
  <si>
    <t xml:space="preserve">≥2 perguntas "o que acontece se nada mudar"</t>
  </si>
  <si>
    <t xml:space="preserve">Fase 3</t>
  </si>
  <si>
    <t xml:space="preserve">6</t>
  </si>
  <si>
    <t xml:space="preserve">Ensino Comercial</t>
  </si>
  <si>
    <t xml:space="preserve">5%</t>
  </si>
  <si>
    <t xml:space="preserve">≥1 insight novo que mudou perspectiva do lead</t>
  </si>
  <si>
    <t xml:space="preserve">7</t>
  </si>
  <si>
    <t xml:space="preserve">Reframe de Identidade</t>
  </si>
  <si>
    <t xml:space="preserve">Trabalhou crença/identidade antes do preço</t>
  </si>
  <si>
    <t xml:space="preserve">8</t>
  </si>
  <si>
    <t xml:space="preserve">Ancoragem de Valor</t>
  </si>
  <si>
    <t xml:space="preserve">Valor antes do preço, empilhamento, ROI traduzido</t>
  </si>
  <si>
    <t xml:space="preserve">Fase 5</t>
  </si>
  <si>
    <t xml:space="preserve">9</t>
  </si>
  <si>
    <t xml:space="preserve">Isolamento de Objeção</t>
  </si>
  <si>
    <t xml:space="preserve">"Além do financeiro..." + "valor ou parcela?"</t>
  </si>
  <si>
    <t xml:space="preserve">Fase 4</t>
  </si>
  <si>
    <t xml:space="preserve">10</t>
  </si>
  <si>
    <t xml:space="preserve">Proporção de Fala</t>
  </si>
  <si>
    <t xml:space="preserve">Closer ≤40% do tempo total</t>
  </si>
  <si>
    <t xml:space="preserve">Geral</t>
  </si>
  <si>
    <t xml:space="preserve">11</t>
  </si>
  <si>
    <t xml:space="preserve">Segurança de Promessas</t>
  </si>
  <si>
    <t xml:space="preserve">Promessas ancoradas em dados, não projeções genéricas</t>
  </si>
  <si>
    <t xml:space="preserve">12</t>
  </si>
  <si>
    <t xml:space="preserve">Checkpoints</t>
  </si>
  <si>
    <t xml:space="preserve">3%</t>
  </si>
  <si>
    <t xml:space="preserve">≥1 checkpoint a cada 7 min de apresentação</t>
  </si>
  <si>
    <t xml:space="preserve">13</t>
  </si>
  <si>
    <t xml:space="preserve">Controle e Fechamento</t>
  </si>
  <si>
    <t xml:space="preserve">Próximos passos na call, onboarding iniciado</t>
  </si>
  <si>
    <t xml:space="preserve">Fase 6</t>
  </si>
  <si>
    <t xml:space="preserve">TOTAIS</t>
  </si>
  <si>
    <t xml:space="preserve">SCORE FINAL PONDERADO (0-10)</t>
  </si>
  <si>
    <t xml:space="preserve">Legenda de Classificação:</t>
  </si>
  <si>
    <t xml:space="preserve">≥ 8,5</t>
  </si>
  <si>
    <t xml:space="preserve">Call de Elite</t>
  </si>
  <si>
    <t xml:space="preserve">7,0 – 8,4</t>
  </si>
  <si>
    <t xml:space="preserve">Call Forte</t>
  </si>
  <si>
    <t xml:space="preserve">5,5 – 6,9</t>
  </si>
  <si>
    <t xml:space="preserve">Call Mediana</t>
  </si>
  <si>
    <t xml:space="preserve">&lt; 5,5</t>
  </si>
  <si>
    <t xml:space="preserve">Call Fraca</t>
  </si>
  <si>
    <t xml:space="preserve">CHECKLIST OPERACIONAL POR FASE</t>
  </si>
  <si>
    <t xml:space="preserve">Marque SIM, NÃO ou N/A para cada item. Use a coluna de evidências para anotar o minuto.</t>
  </si>
  <si>
    <t xml:space="preserve">FASE 1 — Abertura, Frame e Qualificação</t>
  </si>
  <si>
    <t xml:space="preserve">Item</t>
  </si>
  <si>
    <t xml:space="preserve">SIM / NÃO / N/A</t>
  </si>
  <si>
    <t xml:space="preserve">Evidência (minuto da call)</t>
  </si>
  <si>
    <t xml:space="preserve">Pesquisa prévia do Instagram feita antes da call</t>
  </si>
  <si>
    <t xml:space="preserve">Rapport contextual com observação específica</t>
  </si>
  <si>
    <t xml:space="preserve">Rapport ≤ 5 minutos</t>
  </si>
  <si>
    <t xml:space="preserve">Três intenções instaladas (ajudar, avaliar, proposta se fizer sentido)</t>
  </si>
  <si>
    <t xml:space="preserve">Frame de elegibilidade ("eu também estou te avaliando")</t>
  </si>
  <si>
    <t xml:space="preserve">Qualificação: budget/referência obtido</t>
  </si>
  <si>
    <t xml:space="preserve">Qualificação: decisor confirmado</t>
  </si>
  <si>
    <t xml:space="preserve">Qualificação: urgência/timing testado</t>
  </si>
  <si>
    <t xml:space="preserve">Qualificação: tentativas anteriores exploradas</t>
  </si>
  <si>
    <t xml:space="preserve">Segundo pacto instalado ("sim ou não")</t>
  </si>
  <si>
    <t xml:space="preserve">Objeções ocultas testadas</t>
  </si>
  <si>
    <t xml:space="preserve">FASE 2 — Diagnóstico Profundo</t>
  </si>
  <si>
    <t xml:space="preserve">Perguntas de situação (estrutura, time, processo)</t>
  </si>
  <si>
    <t xml:space="preserve">Perguntas de problema (gargalos, dor principal)</t>
  </si>
  <si>
    <t xml:space="preserve">Lead verbalizou o problema com suas próprias palavras</t>
  </si>
  <si>
    <t xml:space="preserve">Métrica obtida: faturamento médio</t>
  </si>
  <si>
    <t xml:space="preserve">Métrica obtida: ticket médio real</t>
  </si>
  <si>
    <t xml:space="preserve">Métrica obtida: volume de leads/mês</t>
  </si>
  <si>
    <t xml:space="preserve">Métrica obtida: taxa de conversão (estimada ou real)</t>
  </si>
  <si>
    <t xml:space="preserve">Métrica obtida: custo fixo mensal</t>
  </si>
  <si>
    <t xml:space="preserve">Métrica obtida: investimento em marketing</t>
  </si>
  <si>
    <t xml:space="preserve">Métrica obtida: tamanho da base de clientes</t>
  </si>
  <si>
    <t xml:space="preserve">Margem estimada calculada (faturamento - custo fixo)</t>
  </si>
  <si>
    <t xml:space="preserve">Espelhamento/resumo feito e confirmado pelo lead</t>
  </si>
  <si>
    <t xml:space="preserve">FASE 3 — Amplificação, Consequência, Ensino e Identidade</t>
  </si>
  <si>
    <t xml:space="preserve">Pergunta de consequência #1: projeção temporal ("se nada mudar em 12 meses...")</t>
  </si>
  <si>
    <t xml:space="preserve">Pergunta de consequência #2: custo do problema (CALCULADO, não chutado)</t>
  </si>
  <si>
    <t xml:space="preserve">Pergunta de consequência #3: impacto pessoal (paz, tempo, saúde)</t>
  </si>
  <si>
    <t xml:space="preserve">Silêncio respeitado após pergunta de consequência (não preencheu o vazio)</t>
  </si>
  <si>
    <t xml:space="preserve">Ensino comercial: compartilhou ≥1 insight novo que o lead não sabia</t>
  </si>
  <si>
    <t xml:space="preserve">Lead demonstrou mudança de perspectiva ("nunca pensei assim")</t>
  </si>
  <si>
    <t xml:space="preserve">Social proof contextualizado (case similar: região, nicho, porte)</t>
  </si>
  <si>
    <t xml:space="preserve">Reframe de identidade feito ("você já é a pessoa certa, falta o sistema")</t>
  </si>
  <si>
    <t xml:space="preserve">Gap quantificado com dados do diagnóstico (não chutado)</t>
  </si>
  <si>
    <t xml:space="preserve">FASE 4 — Validação e Isolamento</t>
  </si>
  <si>
    <t xml:space="preserve">Validou aderência: "faz sentido pro seu caso?"</t>
  </si>
  <si>
    <t xml:space="preserve">Perguntou o que mais chamou atenção</t>
  </si>
  <si>
    <t xml:space="preserve">Testou dúvidas: "ficou algo nebuloso?"</t>
  </si>
  <si>
    <t xml:space="preserve">Isolamento financeiro: "isolando o fator financeiro, entraria?"</t>
  </si>
  <si>
    <t xml:space="preserve">Obteve SIM explícito ao isolamento</t>
  </si>
  <si>
    <t xml:space="preserve">Varredura de objeções: "além do financeiro, existe algo mais?"</t>
  </si>
  <si>
    <t xml:space="preserve">Confirmação de fechamento condicional: "se a condição couber, fecha hoje?"</t>
  </si>
  <si>
    <t xml:space="preserve">FASE 5 — Apresentação, Ancoragem e Fechamento</t>
  </si>
  <si>
    <t xml:space="preserve">Apresentação ≤ 15 minutos</t>
  </si>
  <si>
    <t xml:space="preserve">Cada pilar conectado à dor específica do lead</t>
  </si>
  <si>
    <t xml:space="preserve">Checkpoint a cada 5 min ("até aqui faz sentido?")</t>
  </si>
  <si>
    <t xml:space="preserve">Empilhamento de valor (value stack) antes do preço</t>
  </si>
  <si>
    <t xml:space="preserve">ROI traduzido em unidades do negócio do lead</t>
  </si>
  <si>
    <t xml:space="preserve">Preço tabelado apresentado antes da condição especial</t>
  </si>
  <si>
    <t xml:space="preserve">Pedido de fechamento direto + silêncio</t>
  </si>
  <si>
    <t xml:space="preserve">Se objeção: isolou forma vs valor antes de ceder</t>
  </si>
  <si>
    <t xml:space="preserve">Não cedeu sem confirmação de fechamento</t>
  </si>
  <si>
    <t xml:space="preserve">FASE 6 — Negociação e Onboarding</t>
  </si>
  <si>
    <t xml:space="preserve">Forma de pagamento definida com data concreta</t>
  </si>
  <si>
    <t xml:space="preserve">Link de pagamento enviado na call</t>
  </si>
  <si>
    <t xml:space="preserve">Próximos passos definidos na call (1ª reunião, grupo VIP)</t>
  </si>
  <si>
    <t xml:space="preserve">Reforço pós-fechamento ("parabéns pela decisão")</t>
  </si>
  <si>
    <t xml:space="preserve">Não reabriu negociação após fechamento</t>
  </si>
  <si>
    <t xml:space="preserve">Energia mantida até o fim</t>
  </si>
  <si>
    <t xml:space="preserve">EXEMPLO PREENCHIDO — Call Evelyn x Elane (02/03/2026)</t>
  </si>
  <si>
    <t xml:space="preserve">Duração: 2h44min • Resultado: Fechamento R$ 44.000 • Score: 6,8/10</t>
  </si>
  <si>
    <t xml:space="preserve">Evelyn La</t>
  </si>
  <si>
    <t xml:space="preserve">Elane Lima</t>
  </si>
  <si>
    <t xml:space="preserve">02/03/2026</t>
  </si>
  <si>
    <t xml:space="preserve">164</t>
  </si>
  <si>
    <t xml:space="preserve">Fechamento - R$ 44.000 (6m aceleração)</t>
  </si>
  <si>
    <t xml:space="preserve">Nota</t>
  </si>
  <si>
    <t xml:space="preserve">Nota Pond.</t>
  </si>
  <si>
    <t xml:space="preserve">Critério</t>
  </si>
  <si>
    <t xml:space="preserve">Evidências da Call</t>
  </si>
  <si>
    <t xml:space="preserve">Agenda &lt;3min, autoridade, pactos</t>
  </si>
  <si>
    <t xml:space="preserve">Três intenções instaladas em 00:08. Frame bom mas qualificação ausente.</t>
  </si>
  <si>
    <t xml:space="preserve">Budget, decisor, urgência</t>
  </si>
  <si>
    <t xml:space="preserve">NÃO qualificou budget. Elane disse R$ 3,5-4k só no min 01:49. Decisor não confirmado formalmente.</t>
  </si>
  <si>
    <t xml:space="preserve">≥5 métricas</t>
  </si>
  <si>
    <t xml:space="preserve">Não obteve: CAC, taxa conversão, show rate, margem, volume leads. Elane disse "não sei quantas cirurgias faço" e Evelyn aceitou.</t>
  </si>
  <si>
    <t xml:space="preserve">Lead verbalizou dor</t>
  </si>
  <si>
    <t xml:space="preserve">Excelente. Elane disse: "corrida dos ratos que me mata", "tô patinando", "não tenho processo nenhum".</t>
  </si>
  <si>
    <t xml:space="preserve">≥2 perguntas NEPQ</t>
  </si>
  <si>
    <t xml:space="preserve">Não fez nenhuma pergunta de consequência explícita. Pulou direto para solução após a dor.</t>
  </si>
  <si>
    <t xml:space="preserve">≥1 insight novo</t>
  </si>
  <si>
    <t xml:space="preserve">Ensinou sobre demanda qualificada vs volume. Pouco insight que Elane não pudesse imaginar.</t>
  </si>
  <si>
    <t xml:space="preserve">Crença/identidade</t>
  </si>
  <si>
    <t xml:space="preserve">Quase inexistente. "Pensa com o CNPJ" foi o máximo (min 02:24). Tarde demais.</t>
  </si>
  <si>
    <t xml:space="preserve">Valor antes do preço, ROI</t>
  </si>
  <si>
    <t xml:space="preserve">R$ 268k → R$ 51k. Analogia do imóvel confusa. ROI de 1 lift adicional eficaz.</t>
  </si>
  <si>
    <t xml:space="preserve">"Além do financeiro..."</t>
  </si>
  <si>
    <t xml:space="preserve">"Isolando o fator financeiro, entraria?" — SIM explícito. Joia técnica. Faltou "valor ou parcela?".</t>
  </si>
  <si>
    <t xml:space="preserve">Closer ≤40%</t>
  </si>
  <si>
    <t xml:space="preserve">Evelyn ~60-65% de tempo de fala. Blocos de 35min quase monológicos (00:30-01:05).</t>
  </si>
  <si>
    <t xml:space="preserve">Dados, não projeções</t>
  </si>
  <si>
    <t xml:space="preserve">"200k na mesa" sem cálculo. "Mínimo dobro no 2º mês". "Impossível não bater 10 lifts".</t>
  </si>
  <si>
    <t xml:space="preserve">≥1 a cada 7min</t>
  </si>
  <si>
    <t xml:space="preserve">Poucos checkpoints. Bloco de 35min de apresentação sem pausas significativas.</t>
  </si>
  <si>
    <t xml:space="preserve">Próximos passos, onboarding</t>
  </si>
  <si>
    <t xml:space="preserve">Onboarding imediato. 1ª call agendada para dia seguinte. Cartão falhou mas manteve fechamento.</t>
  </si>
  <si>
    <t xml:space="preserve">HISTÓRICO DE CALLS — Acompanhamento e Evolução</t>
  </si>
  <si>
    <t xml:space="preserve">Registre cada call auditada para acompanhar a evolução do closer ao longo do tempo</t>
  </si>
  <si>
    <t xml:space="preserve">Data</t>
  </si>
  <si>
    <t xml:space="preserve">Closer</t>
  </si>
  <si>
    <t xml:space="preserve">Lead</t>
  </si>
  <si>
    <t xml:space="preserve">Duração
(min)</t>
  </si>
  <si>
    <t xml:space="preserve">Resultado</t>
  </si>
  <si>
    <t xml:space="preserve">D1
Frame</t>
  </si>
  <si>
    <t xml:space="preserve">D2
Qualif.</t>
  </si>
  <si>
    <t xml:space="preserve">D3
Diag.Qt</t>
  </si>
  <si>
    <t xml:space="preserve">D4
Diag.Ql</t>
  </si>
  <si>
    <t xml:space="preserve">D5
Conseq.</t>
  </si>
  <si>
    <t xml:space="preserve">D6
Ensino</t>
  </si>
  <si>
    <t xml:space="preserve">D7
Ident.</t>
  </si>
  <si>
    <t xml:space="preserve">D8
Ancor.</t>
  </si>
  <si>
    <t xml:space="preserve">D9
Isol.</t>
  </si>
  <si>
    <t xml:space="preserve">D10
Fala%</t>
  </si>
  <si>
    <t xml:space="preserve">D11
Prom.</t>
  </si>
  <si>
    <t xml:space="preserve">D12
Check</t>
  </si>
  <si>
    <t xml:space="preserve">D13
Fech.</t>
  </si>
  <si>
    <t xml:space="preserve">Score
Final</t>
  </si>
  <si>
    <t xml:space="preserve">Classif.</t>
  </si>
  <si>
    <t xml:space="preserve">Evelyn</t>
  </si>
  <si>
    <t xml:space="preserve">Elane</t>
  </si>
  <si>
    <t xml:space="preserve">Fechamento</t>
  </si>
  <si>
    <t xml:space="preserve">REFERÊNCIA RÁPIDA — Frases Proibidas e Substituições</t>
  </si>
  <si>
    <t xml:space="preserve">Frase Proibida</t>
  </si>
  <si>
    <t xml:space="preserve">Por que é ruim</t>
  </si>
  <si>
    <t xml:space="preserve">Substituir por</t>
  </si>
  <si>
    <t xml:space="preserve">"Eu te garanto que..."</t>
  </si>
  <si>
    <t xml:space="preserve">Cria passivo legal e expectativa</t>
  </si>
  <si>
    <t xml:space="preserve">"O que a gente vê nos cases similares é..."</t>
  </si>
  <si>
    <t xml:space="preserve">"No 2º mês já tem que estar faturando o dobro"</t>
  </si>
  <si>
    <t xml:space="preserve">Promessa sem base</t>
  </si>
  <si>
    <t xml:space="preserve">"Cases similares costumam ver [resultado] em [prazo]"</t>
  </si>
  <si>
    <t xml:space="preserve">"Você tá deixando X na mesa" (sem cálculo)</t>
  </si>
  <si>
    <t xml:space="preserve">Chute que vira cobrança</t>
  </si>
  <si>
    <t xml:space="preserve">"Pelos números que levantamos, a estimativa é [cálculo]"</t>
  </si>
  <si>
    <t xml:space="preserve">"É impossível não bater X"</t>
  </si>
  <si>
    <t xml:space="preserve">Superlativo perigoso</t>
  </si>
  <si>
    <t xml:space="preserve">"Pelo seu cenário, [meta] é muito viável"</t>
  </si>
  <si>
    <t xml:space="preserve">"Pode ser que eu esteja errada, mas..."</t>
  </si>
  <si>
    <t xml:space="preserve">Enfraquece a posição</t>
  </si>
  <si>
    <t xml:space="preserve">Remover — afirmar com segurança ou não afirmar</t>
  </si>
  <si>
    <t xml:space="preserve">"Você vai triplicar/quadruplicar"</t>
  </si>
  <si>
    <t xml:space="preserve">Promessa sem evidência</t>
  </si>
  <si>
    <t xml:space="preserve">"Cases similares cresceram [X]% em [prazo]"</t>
  </si>
  <si>
    <t xml:space="preserve">"Eu não prometo resultado, mas..."</t>
  </si>
  <si>
    <t xml:space="preserve">Contraditório — promete ao negar</t>
  </si>
  <si>
    <t xml:space="preserve">"O resultado é consequência da execução. Nosso papel é..."</t>
  </si>
  <si>
    <t xml:space="preserve">"Só gerar demanda não resolve"</t>
  </si>
  <si>
    <t xml:space="preserve">Genérico demais</t>
  </si>
  <si>
    <t xml:space="preserve">"[Nome da concorrência] gera volume, nós geramos conversão"</t>
  </si>
  <si>
    <t xml:space="preserve">TEMPOS IDEAIS POR FASE</t>
  </si>
  <si>
    <t xml:space="preserve">Tempo Ideal</t>
  </si>
  <si>
    <t xml:space="preserve">Tempo Máximo</t>
  </si>
  <si>
    <t xml:space="preserve">1. Abertura + Frame + Qualificação</t>
  </si>
  <si>
    <t xml:space="preserve">10-12 min</t>
  </si>
  <si>
    <t xml:space="preserve">15 min</t>
  </si>
  <si>
    <t xml:space="preserve">2. Diagnóstico Profundo</t>
  </si>
  <si>
    <t xml:space="preserve">15-18 min</t>
  </si>
  <si>
    <t xml:space="preserve">20 min</t>
  </si>
  <si>
    <t xml:space="preserve">3. Amplificação + Consequência + Ensino</t>
  </si>
  <si>
    <t xml:space="preserve">4. Validação + Isolamento</t>
  </si>
  <si>
    <t xml:space="preserve">5-8 min</t>
  </si>
  <si>
    <t xml:space="preserve">10 min</t>
  </si>
  <si>
    <t xml:space="preserve">5. Apresentação + Ancoragem + Fechamento</t>
  </si>
  <si>
    <t xml:space="preserve">15-20 min</t>
  </si>
  <si>
    <t xml:space="preserve">25 min</t>
  </si>
  <si>
    <t xml:space="preserve">6. Negociação + Onboarding</t>
  </si>
  <si>
    <t xml:space="preserve">10-15 min</t>
  </si>
  <si>
    <t xml:space="preserve">TOTAL</t>
  </si>
  <si>
    <t xml:space="preserve">65-85 min</t>
  </si>
  <si>
    <t xml:space="preserve">105 min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</si>
</sst>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i val="true"/>
      <sz val="12"/>
      <color rgb="FF7F8C8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28"/>
      <color rgb="FF1B2A4A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3F4"/>
        <bgColor rgb="FFEBF5FB"/>
      </patternFill>
    </fill>
    <fill>
      <patternFill patternType="solid">
        <fgColor rgb="FFEBF5FB"/>
        <bgColor rgb="FFF2F3F4"/>
      </patternFill>
    </fill>
    <fill>
      <patternFill patternType="solid">
        <fgColor rgb="FFD5E8F0"/>
        <bgColor rgb="FFE8F5E9"/>
      </patternFill>
    </fill>
    <fill>
      <patternFill patternType="solid">
        <fgColor rgb="FFFFFFFF"/>
        <bgColor rgb="FFFEF5E7"/>
      </patternFill>
    </fill>
    <fill>
      <patternFill patternType="solid">
        <fgColor rgb="FF1B2A4A"/>
        <bgColor rgb="FF003366"/>
      </patternFill>
    </fill>
    <fill>
      <patternFill patternType="solid">
        <fgColor rgb="FFFFF8E1"/>
        <bgColor rgb="FFFEF5E7"/>
      </patternFill>
    </fill>
    <fill>
      <patternFill patternType="solid">
        <fgColor rgb="FFE8F5E9"/>
        <bgColor rgb="FFEBF5FB"/>
      </patternFill>
    </fill>
    <fill>
      <patternFill patternType="solid">
        <fgColor rgb="FFFEF5E7"/>
        <bgColor rgb="FFFFF8E1"/>
      </patternFill>
    </fill>
    <fill>
      <patternFill patternType="solid">
        <fgColor rgb="FFFDEDEC"/>
        <bgColor rgb="FFFEF5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27AE60"/>
        <sz val="14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2E75B6"/>
        <sz val="14"/>
      </font>
      <fill>
        <patternFill>
          <bgColor rgb="FFD5E8F0"/>
        </patternFill>
      </fill>
    </dxf>
    <dxf>
      <font>
        <name val="Arial"/>
        <charset val="1"/>
        <family val="0"/>
        <b val="1"/>
        <color rgb="FFE67E22"/>
        <sz val="14"/>
      </font>
      <fill>
        <patternFill>
          <bgColor rgb="FFFEF5E7"/>
        </patternFill>
      </fill>
    </dxf>
    <dxf>
      <font>
        <name val="Arial"/>
        <charset val="1"/>
        <family val="0"/>
        <b val="1"/>
        <color rgb="FFC0392B"/>
        <sz val="14"/>
      </font>
      <fill>
        <patternFill>
          <bgColor rgb="FFFDEDEC"/>
        </patternFill>
      </fill>
    </dxf>
    <dxf>
      <fill>
        <patternFill>
          <bgColor rgb="FFE8F5E9"/>
        </patternFill>
      </fill>
    </dxf>
    <dxf>
      <fill>
        <patternFill>
          <bgColor rgb="FFD5E8F0"/>
        </patternFill>
      </fill>
    </dxf>
    <dxf>
      <fill>
        <patternFill>
          <bgColor rgb="FFFEF5E7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FFF8E1"/>
      <rgbColor rgb="FFE8F5E9"/>
      <rgbColor rgb="FF660066"/>
      <rgbColor rgb="FFFF8080"/>
      <rgbColor rgb="FF0066CC"/>
      <rgbColor rgb="FFF2F3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E8F0"/>
      <rgbColor rgb="FFFEF5E7"/>
      <rgbColor rgb="FF99CCFF"/>
      <rgbColor rgb="FFFF99CC"/>
      <rgbColor rgb="FFCC99FF"/>
      <rgbColor rgb="FFFDEDEC"/>
      <rgbColor rgb="FF2E75B6"/>
      <rgbColor rgb="FF33CCCC"/>
      <rgbColor rgb="FF99CC00"/>
      <rgbColor rgb="FFFFCC00"/>
      <rgbColor rgb="FFD4A017"/>
      <rgbColor rgb="FFE67E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50"/>
    <col collapsed="false" customWidth="true" hidden="false" outlineLevel="0" max="9" min="9" style="0" width="16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2</v>
      </c>
      <c r="C5" s="4"/>
      <c r="D5" s="4"/>
      <c r="F5" s="5" t="s">
        <v>3</v>
      </c>
      <c r="G5" s="5"/>
      <c r="H5" s="5" t="s">
        <v>4</v>
      </c>
      <c r="I5" s="5"/>
    </row>
    <row r="6" customFormat="false" ht="15" hidden="false" customHeight="false" outlineLevel="0" collapsed="false">
      <c r="B6" s="3" t="s">
        <v>5</v>
      </c>
      <c r="C6" s="4"/>
      <c r="D6" s="4"/>
      <c r="F6" s="6" t="str">
        <f aca="false">IF(COUNTBLANK(E14:E26)=13,"",I28)</f>
        <v/>
      </c>
      <c r="G6" s="6"/>
      <c r="H6" s="7" t="str">
        <f aca="false">IF(COUNTBLANK(E14:E26)=13,"Preencha as notas",IF(I28&gt;=8.5,"CALL DE ELITE",IF(I28&gt;=7,"CALL FORTE",IF(I28&gt;=5.5,"CALL MEDIANA","CALL FRACA"))))</f>
        <v>Preencha as notas</v>
      </c>
      <c r="I6" s="7"/>
    </row>
    <row r="7" customFormat="false" ht="15" hidden="false" customHeight="false" outlineLevel="0" collapsed="false">
      <c r="B7" s="3" t="s">
        <v>6</v>
      </c>
      <c r="C7" s="4"/>
      <c r="D7" s="4"/>
      <c r="F7" s="6"/>
      <c r="G7" s="6"/>
      <c r="H7" s="7"/>
      <c r="I7" s="7"/>
    </row>
    <row r="8" customFormat="false" ht="15" hidden="false" customHeight="false" outlineLevel="0" collapsed="false">
      <c r="B8" s="3" t="s">
        <v>7</v>
      </c>
      <c r="C8" s="4"/>
      <c r="D8" s="4"/>
      <c r="F8" s="6"/>
      <c r="G8" s="6"/>
      <c r="H8" s="7"/>
      <c r="I8" s="7"/>
    </row>
    <row r="9" customFormat="false" ht="15" hidden="false" customHeight="false" outlineLevel="0" collapsed="false">
      <c r="B9" s="3" t="s">
        <v>8</v>
      </c>
      <c r="C9" s="4"/>
      <c r="D9" s="4"/>
    </row>
    <row r="12" customFormat="false" ht="26.85" hidden="false" customHeight="false" outlineLevel="0" collapsed="false">
      <c r="B12" s="8" t="s">
        <v>9</v>
      </c>
      <c r="C12" s="8" t="s">
        <v>10</v>
      </c>
      <c r="D12" s="8" t="s">
        <v>11</v>
      </c>
      <c r="E12" s="8" t="s">
        <v>12</v>
      </c>
      <c r="F12" s="8" t="s">
        <v>13</v>
      </c>
      <c r="G12" s="8" t="s">
        <v>14</v>
      </c>
      <c r="H12" s="8" t="s">
        <v>15</v>
      </c>
      <c r="I12" s="8" t="s">
        <v>16</v>
      </c>
    </row>
    <row r="13" customFormat="false" ht="15" hidden="false" customHeight="false" outlineLevel="0" collapsed="false">
      <c r="B13" s="9" t="s">
        <v>17</v>
      </c>
      <c r="C13" s="10" t="s">
        <v>18</v>
      </c>
      <c r="D13" s="9" t="s">
        <v>19</v>
      </c>
      <c r="E13" s="11"/>
      <c r="F13" s="12" t="str">
        <f aca="false">IF(E13="","",E13*D13)</f>
        <v/>
      </c>
      <c r="G13" s="13" t="s">
        <v>20</v>
      </c>
      <c r="H13" s="10"/>
      <c r="I13" s="9" t="s">
        <v>21</v>
      </c>
    </row>
    <row r="14" customFormat="false" ht="26.85" hidden="false" customHeight="false" outlineLevel="0" collapsed="false">
      <c r="B14" s="14" t="s">
        <v>22</v>
      </c>
      <c r="C14" s="15" t="s">
        <v>23</v>
      </c>
      <c r="D14" s="14" t="s">
        <v>24</v>
      </c>
      <c r="E14" s="11"/>
      <c r="F14" s="16" t="str">
        <f aca="false">IF(E14="","",E14*D14)</f>
        <v/>
      </c>
      <c r="G14" s="13" t="s">
        <v>25</v>
      </c>
      <c r="H14" s="15"/>
      <c r="I14" s="14" t="s">
        <v>21</v>
      </c>
    </row>
    <row r="15" customFormat="false" ht="26.85" hidden="false" customHeight="false" outlineLevel="0" collapsed="false">
      <c r="B15" s="9" t="s">
        <v>26</v>
      </c>
      <c r="C15" s="10" t="s">
        <v>27</v>
      </c>
      <c r="D15" s="9" t="s">
        <v>28</v>
      </c>
      <c r="E15" s="11"/>
      <c r="F15" s="12" t="str">
        <f aca="false">IF(E15="","",E15*D15)</f>
        <v/>
      </c>
      <c r="G15" s="13" t="s">
        <v>29</v>
      </c>
      <c r="H15" s="10"/>
      <c r="I15" s="9" t="s">
        <v>30</v>
      </c>
    </row>
    <row r="16" customFormat="false" ht="15" hidden="false" customHeight="false" outlineLevel="0" collapsed="false">
      <c r="B16" s="14" t="s">
        <v>31</v>
      </c>
      <c r="C16" s="15" t="s">
        <v>32</v>
      </c>
      <c r="D16" s="14" t="s">
        <v>19</v>
      </c>
      <c r="E16" s="11"/>
      <c r="F16" s="16" t="str">
        <f aca="false">IF(E16="","",E16*D16)</f>
        <v/>
      </c>
      <c r="G16" s="13" t="s">
        <v>33</v>
      </c>
      <c r="H16" s="15"/>
      <c r="I16" s="14" t="s">
        <v>30</v>
      </c>
    </row>
    <row r="17" customFormat="false" ht="15" hidden="false" customHeight="false" outlineLevel="0" collapsed="false">
      <c r="B17" s="9" t="s">
        <v>34</v>
      </c>
      <c r="C17" s="10" t="s">
        <v>35</v>
      </c>
      <c r="D17" s="9" t="s">
        <v>24</v>
      </c>
      <c r="E17" s="11"/>
      <c r="F17" s="12" t="str">
        <f aca="false">IF(E17="","",E17*D17)</f>
        <v/>
      </c>
      <c r="G17" s="13" t="s">
        <v>36</v>
      </c>
      <c r="H17" s="10"/>
      <c r="I17" s="9" t="s">
        <v>37</v>
      </c>
    </row>
    <row r="18" customFormat="false" ht="15" hidden="false" customHeight="false" outlineLevel="0" collapsed="false">
      <c r="B18" s="14" t="s">
        <v>38</v>
      </c>
      <c r="C18" s="15" t="s">
        <v>39</v>
      </c>
      <c r="D18" s="14" t="s">
        <v>40</v>
      </c>
      <c r="E18" s="11"/>
      <c r="F18" s="16" t="str">
        <f aca="false">IF(E18="","",E18*D18)</f>
        <v/>
      </c>
      <c r="G18" s="13" t="s">
        <v>41</v>
      </c>
      <c r="H18" s="15"/>
      <c r="I18" s="14" t="s">
        <v>37</v>
      </c>
    </row>
    <row r="19" customFormat="false" ht="15" hidden="false" customHeight="false" outlineLevel="0" collapsed="false">
      <c r="B19" s="9" t="s">
        <v>42</v>
      </c>
      <c r="C19" s="10" t="s">
        <v>43</v>
      </c>
      <c r="D19" s="9" t="s">
        <v>40</v>
      </c>
      <c r="E19" s="11"/>
      <c r="F19" s="12" t="str">
        <f aca="false">IF(E19="","",E19*D19)</f>
        <v/>
      </c>
      <c r="G19" s="13" t="s">
        <v>44</v>
      </c>
      <c r="H19" s="10"/>
      <c r="I19" s="9" t="s">
        <v>37</v>
      </c>
    </row>
    <row r="20" customFormat="false" ht="15" hidden="false" customHeight="false" outlineLevel="0" collapsed="false">
      <c r="B20" s="14" t="s">
        <v>45</v>
      </c>
      <c r="C20" s="15" t="s">
        <v>46</v>
      </c>
      <c r="D20" s="14" t="s">
        <v>24</v>
      </c>
      <c r="E20" s="11"/>
      <c r="F20" s="16" t="str">
        <f aca="false">IF(E20="","",E20*D20)</f>
        <v/>
      </c>
      <c r="G20" s="13" t="s">
        <v>47</v>
      </c>
      <c r="H20" s="15"/>
      <c r="I20" s="14" t="s">
        <v>48</v>
      </c>
    </row>
    <row r="21" customFormat="false" ht="15" hidden="false" customHeight="false" outlineLevel="0" collapsed="false">
      <c r="B21" s="9" t="s">
        <v>49</v>
      </c>
      <c r="C21" s="10" t="s">
        <v>50</v>
      </c>
      <c r="D21" s="9" t="s">
        <v>24</v>
      </c>
      <c r="E21" s="11"/>
      <c r="F21" s="12" t="str">
        <f aca="false">IF(E21="","",E21*D21)</f>
        <v/>
      </c>
      <c r="G21" s="13" t="s">
        <v>51</v>
      </c>
      <c r="H21" s="10"/>
      <c r="I21" s="9" t="s">
        <v>52</v>
      </c>
    </row>
    <row r="22" customFormat="false" ht="15" hidden="false" customHeight="false" outlineLevel="0" collapsed="false">
      <c r="B22" s="14" t="s">
        <v>53</v>
      </c>
      <c r="C22" s="15" t="s">
        <v>54</v>
      </c>
      <c r="D22" s="14" t="s">
        <v>19</v>
      </c>
      <c r="E22" s="11"/>
      <c r="F22" s="16" t="str">
        <f aca="false">IF(E22="","",E22*D22)</f>
        <v/>
      </c>
      <c r="G22" s="13" t="s">
        <v>55</v>
      </c>
      <c r="H22" s="15"/>
      <c r="I22" s="14" t="s">
        <v>56</v>
      </c>
    </row>
    <row r="23" customFormat="false" ht="26.85" hidden="false" customHeight="false" outlineLevel="0" collapsed="false">
      <c r="B23" s="9" t="s">
        <v>57</v>
      </c>
      <c r="C23" s="10" t="s">
        <v>58</v>
      </c>
      <c r="D23" s="9" t="s">
        <v>19</v>
      </c>
      <c r="E23" s="11"/>
      <c r="F23" s="12" t="str">
        <f aca="false">IF(E23="","",E23*D23)</f>
        <v/>
      </c>
      <c r="G23" s="13" t="s">
        <v>59</v>
      </c>
      <c r="H23" s="10"/>
      <c r="I23" s="9" t="s">
        <v>56</v>
      </c>
    </row>
    <row r="24" customFormat="false" ht="15" hidden="false" customHeight="false" outlineLevel="0" collapsed="false">
      <c r="B24" s="14" t="s">
        <v>60</v>
      </c>
      <c r="C24" s="15" t="s">
        <v>61</v>
      </c>
      <c r="D24" s="14" t="s">
        <v>62</v>
      </c>
      <c r="E24" s="11"/>
      <c r="F24" s="16" t="str">
        <f aca="false">IF(E24="","",E24*D24)</f>
        <v/>
      </c>
      <c r="G24" s="13" t="s">
        <v>63</v>
      </c>
      <c r="H24" s="15"/>
      <c r="I24" s="14" t="s">
        <v>48</v>
      </c>
    </row>
    <row r="25" customFormat="false" ht="15" hidden="false" customHeight="false" outlineLevel="0" collapsed="false">
      <c r="B25" s="9" t="s">
        <v>64</v>
      </c>
      <c r="C25" s="10" t="s">
        <v>65</v>
      </c>
      <c r="D25" s="9" t="s">
        <v>62</v>
      </c>
      <c r="E25" s="11"/>
      <c r="F25" s="12" t="str">
        <f aca="false">IF(E25="","",E25*D25)</f>
        <v/>
      </c>
      <c r="G25" s="13" t="s">
        <v>66</v>
      </c>
      <c r="H25" s="10"/>
      <c r="I25" s="9" t="s">
        <v>67</v>
      </c>
    </row>
    <row r="26" customFormat="false" ht="15" hidden="false" customHeight="true" outlineLevel="0" collapsed="false">
      <c r="B26" s="8" t="s">
        <v>68</v>
      </c>
      <c r="C26" s="8"/>
      <c r="D26" s="17" t="n">
        <f aca="false">SUM(D13:D25)</f>
        <v>0</v>
      </c>
      <c r="E26" s="18"/>
      <c r="F26" s="19" t="n">
        <f aca="false">SUM(F13:F25)</f>
        <v>0</v>
      </c>
      <c r="G26" s="18"/>
      <c r="H26" s="18"/>
      <c r="I26" s="18"/>
    </row>
    <row r="27" customFormat="false" ht="19.7" hidden="false" customHeight="false" outlineLevel="0" collapsed="false">
      <c r="B27" s="20" t="s">
        <v>69</v>
      </c>
      <c r="C27" s="20"/>
      <c r="D27" s="20"/>
      <c r="E27" s="20"/>
      <c r="F27" s="20"/>
      <c r="G27" s="20"/>
      <c r="H27" s="20"/>
      <c r="I27" s="21" t="str">
        <f aca="false">IF(COUNTBLANK(E13:E25)=13,"",F26/D26)</f>
        <v/>
      </c>
    </row>
    <row r="29" customFormat="false" ht="15" hidden="false" customHeight="false" outlineLevel="0" collapsed="false">
      <c r="B29" s="22" t="s">
        <v>70</v>
      </c>
    </row>
    <row r="30" customFormat="false" ht="15" hidden="false" customHeight="false" outlineLevel="0" collapsed="false">
      <c r="B30" s="23" t="s">
        <v>71</v>
      </c>
      <c r="C30" s="24" t="s">
        <v>72</v>
      </c>
    </row>
    <row r="31" customFormat="false" ht="23.85" hidden="false" customHeight="false" outlineLevel="0" collapsed="false">
      <c r="B31" s="25" t="s">
        <v>73</v>
      </c>
      <c r="C31" s="26" t="s">
        <v>74</v>
      </c>
    </row>
    <row r="32" customFormat="false" ht="23.85" hidden="false" customHeight="false" outlineLevel="0" collapsed="false">
      <c r="B32" s="27" t="s">
        <v>75</v>
      </c>
      <c r="C32" s="28" t="s">
        <v>76</v>
      </c>
    </row>
    <row r="33" customFormat="false" ht="15" hidden="false" customHeight="false" outlineLevel="0" collapsed="false">
      <c r="B33" s="29" t="s">
        <v>77</v>
      </c>
      <c r="C33" s="30" t="s">
        <v>78</v>
      </c>
    </row>
  </sheetData>
  <mergeCells count="13">
    <mergeCell ref="B2:I2"/>
    <mergeCell ref="B3:I3"/>
    <mergeCell ref="C5:D5"/>
    <mergeCell ref="F5:G5"/>
    <mergeCell ref="H5:I5"/>
    <mergeCell ref="C6:D6"/>
    <mergeCell ref="F6:G8"/>
    <mergeCell ref="H6:I8"/>
    <mergeCell ref="C7:D7"/>
    <mergeCell ref="C8:D8"/>
    <mergeCell ref="C9:D9"/>
    <mergeCell ref="B26:C26"/>
    <mergeCell ref="B27:H27"/>
  </mergeCells>
  <conditionalFormatting sqref="H6:I8">
    <cfRule type="cellIs" priority="2" operator="equal" aboveAverage="0" equalAverage="0" bottom="0" percent="0" rank="0" text="" dxfId="0">
      <formula>"CALL DE ELITE"</formula>
    </cfRule>
    <cfRule type="cellIs" priority="3" operator="equal" aboveAverage="0" equalAverage="0" bottom="0" percent="0" rank="0" text="" dxfId="1">
      <formula>"CALL FORTE"</formula>
    </cfRule>
    <cfRule type="cellIs" priority="4" operator="equal" aboveAverage="0" equalAverage="0" bottom="0" percent="0" rank="0" text="" dxfId="2">
      <formula>"CALL MEDIANA"</formula>
    </cfRule>
    <cfRule type="cellIs" priority="5" operator="equal" aboveAverage="0" equalAverage="0" bottom="0" percent="0" rank="0" text="" dxfId="3">
      <formula>"CALL FRACA"</formula>
    </cfRule>
  </conditionalFormatting>
  <conditionalFormatting sqref="E13">
    <cfRule type="cellIs" priority="6" operator="greaterThanOrEqual" aboveAverage="0" equalAverage="0" bottom="0" percent="0" rank="0" text="" dxfId="4">
      <formula>8.5</formula>
    </cfRule>
    <cfRule type="cellIs" priority="7" operator="between" aboveAverage="0" equalAverage="0" bottom="0" percent="0" rank="0" text="" dxfId="5">
      <formula>7</formula>
      <formula>8.4</formula>
    </cfRule>
    <cfRule type="cellIs" priority="8" operator="between" aboveAverage="0" equalAverage="0" bottom="0" percent="0" rank="0" text="" dxfId="6">
      <formula>5.5</formula>
      <formula>6.9</formula>
    </cfRule>
    <cfRule type="cellIs" priority="9" operator="lessThan" aboveAverage="0" equalAverage="0" bottom="0" percent="0" rank="0" text="" dxfId="7">
      <formula>5.5</formula>
    </cfRule>
  </conditionalFormatting>
  <conditionalFormatting sqref="E14">
    <cfRule type="cellIs" priority="10" operator="greaterThanOrEqual" aboveAverage="0" equalAverage="0" bottom="0" percent="0" rank="0" text="" dxfId="4">
      <formula>8.5</formula>
    </cfRule>
    <cfRule type="cellIs" priority="11" operator="between" aboveAverage="0" equalAverage="0" bottom="0" percent="0" rank="0" text="" dxfId="5">
      <formula>7</formula>
      <formula>8.4</formula>
    </cfRule>
    <cfRule type="cellIs" priority="12" operator="between" aboveAverage="0" equalAverage="0" bottom="0" percent="0" rank="0" text="" dxfId="6">
      <formula>5.5</formula>
      <formula>6.9</formula>
    </cfRule>
    <cfRule type="cellIs" priority="13" operator="lessThan" aboveAverage="0" equalAverage="0" bottom="0" percent="0" rank="0" text="" dxfId="7">
      <formula>5.5</formula>
    </cfRule>
  </conditionalFormatting>
  <conditionalFormatting sqref="E15">
    <cfRule type="cellIs" priority="14" operator="greaterThanOrEqual" aboveAverage="0" equalAverage="0" bottom="0" percent="0" rank="0" text="" dxfId="4">
      <formula>8.5</formula>
    </cfRule>
    <cfRule type="cellIs" priority="15" operator="between" aboveAverage="0" equalAverage="0" bottom="0" percent="0" rank="0" text="" dxfId="5">
      <formula>7</formula>
      <formula>8.4</formula>
    </cfRule>
    <cfRule type="cellIs" priority="16" operator="between" aboveAverage="0" equalAverage="0" bottom="0" percent="0" rank="0" text="" dxfId="6">
      <formula>5.5</formula>
      <formula>6.9</formula>
    </cfRule>
    <cfRule type="cellIs" priority="17" operator="lessThan" aboveAverage="0" equalAverage="0" bottom="0" percent="0" rank="0" text="" dxfId="7">
      <formula>5.5</formula>
    </cfRule>
  </conditionalFormatting>
  <conditionalFormatting sqref="E16">
    <cfRule type="cellIs" priority="18" operator="greaterThanOrEqual" aboveAverage="0" equalAverage="0" bottom="0" percent="0" rank="0" text="" dxfId="4">
      <formula>8.5</formula>
    </cfRule>
    <cfRule type="cellIs" priority="19" operator="between" aboveAverage="0" equalAverage="0" bottom="0" percent="0" rank="0" text="" dxfId="5">
      <formula>7</formula>
      <formula>8.4</formula>
    </cfRule>
    <cfRule type="cellIs" priority="20" operator="between" aboveAverage="0" equalAverage="0" bottom="0" percent="0" rank="0" text="" dxfId="6">
      <formula>5.5</formula>
      <formula>6.9</formula>
    </cfRule>
    <cfRule type="cellIs" priority="21" operator="lessThan" aboveAverage="0" equalAverage="0" bottom="0" percent="0" rank="0" text="" dxfId="7">
      <formula>5.5</formula>
    </cfRule>
  </conditionalFormatting>
  <conditionalFormatting sqref="E17">
    <cfRule type="cellIs" priority="22" operator="greaterThanOrEqual" aboveAverage="0" equalAverage="0" bottom="0" percent="0" rank="0" text="" dxfId="4">
      <formula>8.5</formula>
    </cfRule>
    <cfRule type="cellIs" priority="23" operator="between" aboveAverage="0" equalAverage="0" bottom="0" percent="0" rank="0" text="" dxfId="5">
      <formula>7</formula>
      <formula>8.4</formula>
    </cfRule>
    <cfRule type="cellIs" priority="24" operator="between" aboveAverage="0" equalAverage="0" bottom="0" percent="0" rank="0" text="" dxfId="6">
      <formula>5.5</formula>
      <formula>6.9</formula>
    </cfRule>
    <cfRule type="cellIs" priority="25" operator="lessThan" aboveAverage="0" equalAverage="0" bottom="0" percent="0" rank="0" text="" dxfId="7">
      <formula>5.5</formula>
    </cfRule>
  </conditionalFormatting>
  <conditionalFormatting sqref="E18">
    <cfRule type="cellIs" priority="26" operator="greaterThanOrEqual" aboveAverage="0" equalAverage="0" bottom="0" percent="0" rank="0" text="" dxfId="4">
      <formula>8.5</formula>
    </cfRule>
    <cfRule type="cellIs" priority="27" operator="between" aboveAverage="0" equalAverage="0" bottom="0" percent="0" rank="0" text="" dxfId="5">
      <formula>7</formula>
      <formula>8.4</formula>
    </cfRule>
    <cfRule type="cellIs" priority="28" operator="between" aboveAverage="0" equalAverage="0" bottom="0" percent="0" rank="0" text="" dxfId="6">
      <formula>5.5</formula>
      <formula>6.9</formula>
    </cfRule>
    <cfRule type="cellIs" priority="29" operator="lessThan" aboveAverage="0" equalAverage="0" bottom="0" percent="0" rank="0" text="" dxfId="7">
      <formula>5.5</formula>
    </cfRule>
  </conditionalFormatting>
  <conditionalFormatting sqref="E19">
    <cfRule type="cellIs" priority="30" operator="greaterThanOrEqual" aboveAverage="0" equalAverage="0" bottom="0" percent="0" rank="0" text="" dxfId="4">
      <formula>8.5</formula>
    </cfRule>
    <cfRule type="cellIs" priority="31" operator="between" aboveAverage="0" equalAverage="0" bottom="0" percent="0" rank="0" text="" dxfId="5">
      <formula>7</formula>
      <formula>8.4</formula>
    </cfRule>
    <cfRule type="cellIs" priority="32" operator="between" aboveAverage="0" equalAverage="0" bottom="0" percent="0" rank="0" text="" dxfId="6">
      <formula>5.5</formula>
      <formula>6.9</formula>
    </cfRule>
    <cfRule type="cellIs" priority="33" operator="lessThan" aboveAverage="0" equalAverage="0" bottom="0" percent="0" rank="0" text="" dxfId="7">
      <formula>5.5</formula>
    </cfRule>
  </conditionalFormatting>
  <conditionalFormatting sqref="E20">
    <cfRule type="cellIs" priority="34" operator="greaterThanOrEqual" aboveAverage="0" equalAverage="0" bottom="0" percent="0" rank="0" text="" dxfId="4">
      <formula>8.5</formula>
    </cfRule>
    <cfRule type="cellIs" priority="35" operator="between" aboveAverage="0" equalAverage="0" bottom="0" percent="0" rank="0" text="" dxfId="5">
      <formula>7</formula>
      <formula>8.4</formula>
    </cfRule>
    <cfRule type="cellIs" priority="36" operator="between" aboveAverage="0" equalAverage="0" bottom="0" percent="0" rank="0" text="" dxfId="6">
      <formula>5.5</formula>
      <formula>6.9</formula>
    </cfRule>
    <cfRule type="cellIs" priority="37" operator="lessThan" aboveAverage="0" equalAverage="0" bottom="0" percent="0" rank="0" text="" dxfId="7">
      <formula>5.5</formula>
    </cfRule>
  </conditionalFormatting>
  <conditionalFormatting sqref="E21">
    <cfRule type="cellIs" priority="38" operator="greaterThanOrEqual" aboveAverage="0" equalAverage="0" bottom="0" percent="0" rank="0" text="" dxfId="4">
      <formula>8.5</formula>
    </cfRule>
    <cfRule type="cellIs" priority="39" operator="between" aboveAverage="0" equalAverage="0" bottom="0" percent="0" rank="0" text="" dxfId="5">
      <formula>7</formula>
      <formula>8.4</formula>
    </cfRule>
    <cfRule type="cellIs" priority="40" operator="between" aboveAverage="0" equalAverage="0" bottom="0" percent="0" rank="0" text="" dxfId="6">
      <formula>5.5</formula>
      <formula>6.9</formula>
    </cfRule>
    <cfRule type="cellIs" priority="41" operator="lessThan" aboveAverage="0" equalAverage="0" bottom="0" percent="0" rank="0" text="" dxfId="7">
      <formula>5.5</formula>
    </cfRule>
  </conditionalFormatting>
  <conditionalFormatting sqref="E22">
    <cfRule type="cellIs" priority="42" operator="greaterThanOrEqual" aboveAverage="0" equalAverage="0" bottom="0" percent="0" rank="0" text="" dxfId="4">
      <formula>8.5</formula>
    </cfRule>
    <cfRule type="cellIs" priority="43" operator="between" aboveAverage="0" equalAverage="0" bottom="0" percent="0" rank="0" text="" dxfId="5">
      <formula>7</formula>
      <formula>8.4</formula>
    </cfRule>
    <cfRule type="cellIs" priority="44" operator="between" aboveAverage="0" equalAverage="0" bottom="0" percent="0" rank="0" text="" dxfId="6">
      <formula>5.5</formula>
      <formula>6.9</formula>
    </cfRule>
    <cfRule type="cellIs" priority="45" operator="lessThan" aboveAverage="0" equalAverage="0" bottom="0" percent="0" rank="0" text="" dxfId="7">
      <formula>5.5</formula>
    </cfRule>
  </conditionalFormatting>
  <conditionalFormatting sqref="E23">
    <cfRule type="cellIs" priority="46" operator="greaterThanOrEqual" aboveAverage="0" equalAverage="0" bottom="0" percent="0" rank="0" text="" dxfId="4">
      <formula>8.5</formula>
    </cfRule>
    <cfRule type="cellIs" priority="47" operator="between" aboveAverage="0" equalAverage="0" bottom="0" percent="0" rank="0" text="" dxfId="5">
      <formula>7</formula>
      <formula>8.4</formula>
    </cfRule>
    <cfRule type="cellIs" priority="48" operator="between" aboveAverage="0" equalAverage="0" bottom="0" percent="0" rank="0" text="" dxfId="6">
      <formula>5.5</formula>
      <formula>6.9</formula>
    </cfRule>
    <cfRule type="cellIs" priority="49" operator="lessThan" aboveAverage="0" equalAverage="0" bottom="0" percent="0" rank="0" text="" dxfId="7">
      <formula>5.5</formula>
    </cfRule>
  </conditionalFormatting>
  <conditionalFormatting sqref="E24">
    <cfRule type="cellIs" priority="50" operator="greaterThanOrEqual" aboveAverage="0" equalAverage="0" bottom="0" percent="0" rank="0" text="" dxfId="4">
      <formula>8.5</formula>
    </cfRule>
    <cfRule type="cellIs" priority="51" operator="between" aboveAverage="0" equalAverage="0" bottom="0" percent="0" rank="0" text="" dxfId="5">
      <formula>7</formula>
      <formula>8.4</formula>
    </cfRule>
    <cfRule type="cellIs" priority="52" operator="between" aboveAverage="0" equalAverage="0" bottom="0" percent="0" rank="0" text="" dxfId="6">
      <formula>5.5</formula>
      <formula>6.9</formula>
    </cfRule>
    <cfRule type="cellIs" priority="53" operator="lessThan" aboveAverage="0" equalAverage="0" bottom="0" percent="0" rank="0" text="" dxfId="7">
      <formula>5.5</formula>
    </cfRule>
  </conditionalFormatting>
  <conditionalFormatting sqref="E25">
    <cfRule type="cellIs" priority="54" operator="greaterThanOrEqual" aboveAverage="0" equalAverage="0" bottom="0" percent="0" rank="0" text="" dxfId="4">
      <formula>8.5</formula>
    </cfRule>
    <cfRule type="cellIs" priority="55" operator="between" aboveAverage="0" equalAverage="0" bottom="0" percent="0" rank="0" text="" dxfId="5">
      <formula>7</formula>
      <formula>8.4</formula>
    </cfRule>
    <cfRule type="cellIs" priority="56" operator="between" aboveAverage="0" equalAverage="0" bottom="0" percent="0" rank="0" text="" dxfId="6">
      <formula>5.5</formula>
      <formula>6.9</formula>
    </cfRule>
    <cfRule type="cellIs" priority="57" operator="lessThan" aboveAverage="0" equalAverage="0" bottom="0" percent="0" rank="0" text="" dxfId="7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31" t="s">
        <v>79</v>
      </c>
      <c r="C2" s="31"/>
      <c r="D2" s="31"/>
      <c r="E2" s="31"/>
      <c r="F2" s="31"/>
    </row>
    <row r="3" customFormat="false" ht="15" hidden="false" customHeight="false" outlineLevel="0" collapsed="false">
      <c r="B3" s="2" t="s">
        <v>80</v>
      </c>
      <c r="C3" s="2"/>
      <c r="D3" s="2"/>
      <c r="E3" s="2"/>
      <c r="F3" s="2"/>
    </row>
    <row r="5" customFormat="false" ht="15" hidden="false" customHeight="true" outlineLevel="0" collapsed="false">
      <c r="B5" s="32" t="s">
        <v>81</v>
      </c>
      <c r="C5" s="32"/>
      <c r="D5" s="32"/>
      <c r="E5" s="32"/>
      <c r="F5" s="32"/>
    </row>
    <row r="6" customFormat="false" ht="39.55" hidden="false" customHeight="false" outlineLevel="0" collapsed="false">
      <c r="B6" s="33" t="s">
        <v>82</v>
      </c>
      <c r="C6" s="34" t="s">
        <v>83</v>
      </c>
      <c r="D6" s="34" t="s">
        <v>84</v>
      </c>
      <c r="E6" s="34"/>
      <c r="F6" s="34"/>
    </row>
    <row r="7" customFormat="false" ht="15" hidden="false" customHeight="true" outlineLevel="0" collapsed="false">
      <c r="B7" s="35" t="s">
        <v>85</v>
      </c>
      <c r="C7" s="35"/>
      <c r="D7" s="36"/>
      <c r="E7" s="13"/>
      <c r="F7" s="13"/>
    </row>
    <row r="8" customFormat="false" ht="15" hidden="false" customHeight="true" outlineLevel="0" collapsed="false">
      <c r="B8" s="35" t="s">
        <v>86</v>
      </c>
      <c r="C8" s="35"/>
      <c r="D8" s="36"/>
      <c r="E8" s="13"/>
      <c r="F8" s="13"/>
    </row>
    <row r="9" customFormat="false" ht="15" hidden="false" customHeight="true" outlineLevel="0" collapsed="false">
      <c r="B9" s="35" t="s">
        <v>87</v>
      </c>
      <c r="C9" s="35"/>
      <c r="D9" s="36"/>
      <c r="E9" s="13"/>
      <c r="F9" s="13"/>
    </row>
    <row r="10" customFormat="false" ht="15" hidden="false" customHeight="true" outlineLevel="0" collapsed="false">
      <c r="B10" s="35" t="s">
        <v>88</v>
      </c>
      <c r="C10" s="35"/>
      <c r="D10" s="36"/>
      <c r="E10" s="13"/>
      <c r="F10" s="13"/>
    </row>
    <row r="11" customFormat="false" ht="15" hidden="false" customHeight="true" outlineLevel="0" collapsed="false">
      <c r="B11" s="35" t="s">
        <v>89</v>
      </c>
      <c r="C11" s="35"/>
      <c r="D11" s="36"/>
      <c r="E11" s="13"/>
      <c r="F11" s="13"/>
    </row>
    <row r="12" customFormat="false" ht="15" hidden="false" customHeight="true" outlineLevel="0" collapsed="false">
      <c r="B12" s="35" t="s">
        <v>90</v>
      </c>
      <c r="C12" s="35"/>
      <c r="D12" s="36"/>
      <c r="E12" s="13"/>
      <c r="F12" s="13"/>
    </row>
    <row r="13" customFormat="false" ht="15" hidden="false" customHeight="true" outlineLevel="0" collapsed="false">
      <c r="B13" s="35" t="s">
        <v>91</v>
      </c>
      <c r="C13" s="35"/>
      <c r="D13" s="36"/>
      <c r="E13" s="13"/>
      <c r="F13" s="13"/>
    </row>
    <row r="14" customFormat="false" ht="15" hidden="false" customHeight="true" outlineLevel="0" collapsed="false">
      <c r="B14" s="35" t="s">
        <v>92</v>
      </c>
      <c r="C14" s="35"/>
      <c r="D14" s="36"/>
      <c r="E14" s="13"/>
      <c r="F14" s="13"/>
    </row>
    <row r="15" customFormat="false" ht="15" hidden="false" customHeight="true" outlineLevel="0" collapsed="false">
      <c r="B15" s="35" t="s">
        <v>93</v>
      </c>
      <c r="C15" s="35"/>
      <c r="D15" s="36"/>
      <c r="E15" s="13"/>
      <c r="F15" s="13"/>
    </row>
    <row r="16" customFormat="false" ht="15" hidden="false" customHeight="true" outlineLevel="0" collapsed="false">
      <c r="B16" s="35" t="s">
        <v>94</v>
      </c>
      <c r="C16" s="35"/>
      <c r="D16" s="36"/>
      <c r="E16" s="13"/>
      <c r="F16" s="13"/>
    </row>
    <row r="17" customFormat="false" ht="15" hidden="false" customHeight="true" outlineLevel="0" collapsed="false">
      <c r="B17" s="35" t="s">
        <v>95</v>
      </c>
      <c r="C17" s="35"/>
      <c r="D17" s="36"/>
      <c r="E17" s="13"/>
      <c r="F17" s="13"/>
    </row>
    <row r="19" customFormat="false" ht="15" hidden="false" customHeight="true" outlineLevel="0" collapsed="false">
      <c r="B19" s="32" t="s">
        <v>96</v>
      </c>
      <c r="C19" s="32"/>
      <c r="D19" s="32"/>
      <c r="E19" s="32"/>
      <c r="F19" s="32"/>
    </row>
    <row r="20" customFormat="false" ht="39.55" hidden="false" customHeight="false" outlineLevel="0" collapsed="false">
      <c r="B20" s="33" t="s">
        <v>82</v>
      </c>
      <c r="C20" s="34" t="s">
        <v>83</v>
      </c>
      <c r="D20" s="34" t="s">
        <v>84</v>
      </c>
      <c r="E20" s="34"/>
      <c r="F20" s="34"/>
    </row>
    <row r="21" customFormat="false" ht="15" hidden="false" customHeight="true" outlineLevel="0" collapsed="false">
      <c r="B21" s="35" t="s">
        <v>97</v>
      </c>
      <c r="C21" s="35"/>
      <c r="D21" s="36"/>
      <c r="E21" s="13"/>
      <c r="F21" s="13"/>
    </row>
    <row r="22" customFormat="false" ht="15" hidden="false" customHeight="true" outlineLevel="0" collapsed="false">
      <c r="B22" s="35" t="s">
        <v>98</v>
      </c>
      <c r="C22" s="35"/>
      <c r="D22" s="36"/>
      <c r="E22" s="13"/>
      <c r="F22" s="13"/>
    </row>
    <row r="23" customFormat="false" ht="15" hidden="false" customHeight="true" outlineLevel="0" collapsed="false">
      <c r="B23" s="35" t="s">
        <v>99</v>
      </c>
      <c r="C23" s="35"/>
      <c r="D23" s="36"/>
      <c r="E23" s="13"/>
      <c r="F23" s="13"/>
    </row>
    <row r="24" customFormat="false" ht="15" hidden="false" customHeight="true" outlineLevel="0" collapsed="false">
      <c r="B24" s="35" t="s">
        <v>100</v>
      </c>
      <c r="C24" s="35"/>
      <c r="D24" s="36"/>
      <c r="E24" s="13"/>
      <c r="F24" s="13"/>
    </row>
    <row r="25" customFormat="false" ht="15" hidden="false" customHeight="true" outlineLevel="0" collapsed="false">
      <c r="B25" s="35" t="s">
        <v>101</v>
      </c>
      <c r="C25" s="35"/>
      <c r="D25" s="36"/>
      <c r="E25" s="13"/>
      <c r="F25" s="13"/>
    </row>
    <row r="26" customFormat="false" ht="15" hidden="false" customHeight="true" outlineLevel="0" collapsed="false">
      <c r="B26" s="35" t="s">
        <v>102</v>
      </c>
      <c r="C26" s="35"/>
      <c r="D26" s="36"/>
      <c r="E26" s="13"/>
      <c r="F26" s="13"/>
    </row>
    <row r="27" customFormat="false" ht="15" hidden="false" customHeight="true" outlineLevel="0" collapsed="false">
      <c r="B27" s="35" t="s">
        <v>103</v>
      </c>
      <c r="C27" s="35"/>
      <c r="D27" s="36"/>
      <c r="E27" s="13"/>
      <c r="F27" s="13"/>
    </row>
    <row r="28" customFormat="false" ht="15" hidden="false" customHeight="true" outlineLevel="0" collapsed="false">
      <c r="B28" s="35" t="s">
        <v>104</v>
      </c>
      <c r="C28" s="35"/>
      <c r="D28" s="36"/>
      <c r="E28" s="13"/>
      <c r="F28" s="13"/>
    </row>
    <row r="29" customFormat="false" ht="15" hidden="false" customHeight="true" outlineLevel="0" collapsed="false">
      <c r="B29" s="35" t="s">
        <v>105</v>
      </c>
      <c r="C29" s="35"/>
      <c r="D29" s="36"/>
      <c r="E29" s="13"/>
      <c r="F29" s="13"/>
    </row>
    <row r="30" customFormat="false" ht="15" hidden="false" customHeight="true" outlineLevel="0" collapsed="false">
      <c r="B30" s="35" t="s">
        <v>106</v>
      </c>
      <c r="C30" s="35"/>
      <c r="D30" s="36"/>
      <c r="E30" s="13"/>
      <c r="F30" s="13"/>
    </row>
    <row r="31" customFormat="false" ht="15" hidden="false" customHeight="true" outlineLevel="0" collapsed="false">
      <c r="B31" s="35" t="s">
        <v>107</v>
      </c>
      <c r="C31" s="35"/>
      <c r="D31" s="36"/>
      <c r="E31" s="13"/>
      <c r="F31" s="13"/>
    </row>
    <row r="32" customFormat="false" ht="15" hidden="false" customHeight="true" outlineLevel="0" collapsed="false">
      <c r="B32" s="35" t="s">
        <v>108</v>
      </c>
      <c r="C32" s="35"/>
      <c r="D32" s="36"/>
      <c r="E32" s="13"/>
      <c r="F32" s="13"/>
    </row>
    <row r="34" customFormat="false" ht="15" hidden="false" customHeight="true" outlineLevel="0" collapsed="false">
      <c r="B34" s="32" t="s">
        <v>109</v>
      </c>
      <c r="C34" s="32"/>
      <c r="D34" s="32"/>
      <c r="E34" s="32"/>
      <c r="F34" s="32"/>
    </row>
    <row r="35" customFormat="false" ht="39.55" hidden="false" customHeight="false" outlineLevel="0" collapsed="false">
      <c r="B35" s="33" t="s">
        <v>82</v>
      </c>
      <c r="C35" s="34" t="s">
        <v>83</v>
      </c>
      <c r="D35" s="34" t="s">
        <v>84</v>
      </c>
      <c r="E35" s="34"/>
      <c r="F35" s="34"/>
    </row>
    <row r="36" customFormat="false" ht="23.85" hidden="false" customHeight="true" outlineLevel="0" collapsed="false">
      <c r="B36" s="35" t="s">
        <v>110</v>
      </c>
      <c r="C36" s="35"/>
      <c r="D36" s="36"/>
      <c r="E36" s="13"/>
      <c r="F36" s="13"/>
    </row>
    <row r="37" customFormat="false" ht="23.85" hidden="false" customHeight="true" outlineLevel="0" collapsed="false">
      <c r="B37" s="35" t="s">
        <v>111</v>
      </c>
      <c r="C37" s="35"/>
      <c r="D37" s="36"/>
      <c r="E37" s="13"/>
      <c r="F37" s="13"/>
    </row>
    <row r="38" customFormat="false" ht="15" hidden="false" customHeight="true" outlineLevel="0" collapsed="false">
      <c r="B38" s="35" t="s">
        <v>112</v>
      </c>
      <c r="C38" s="35"/>
      <c r="D38" s="36"/>
      <c r="E38" s="13"/>
      <c r="F38" s="13"/>
    </row>
    <row r="39" customFormat="false" ht="15" hidden="false" customHeight="true" outlineLevel="0" collapsed="false">
      <c r="B39" s="35" t="s">
        <v>113</v>
      </c>
      <c r="C39" s="35"/>
      <c r="D39" s="36"/>
      <c r="E39" s="13"/>
      <c r="F39" s="13"/>
    </row>
    <row r="40" customFormat="false" ht="15" hidden="false" customHeight="true" outlineLevel="0" collapsed="false">
      <c r="B40" s="35" t="s">
        <v>114</v>
      </c>
      <c r="C40" s="35"/>
      <c r="D40" s="36"/>
      <c r="E40" s="13"/>
      <c r="F40" s="13"/>
    </row>
    <row r="41" customFormat="false" ht="15" hidden="false" customHeight="true" outlineLevel="0" collapsed="false">
      <c r="B41" s="35" t="s">
        <v>115</v>
      </c>
      <c r="C41" s="35"/>
      <c r="D41" s="36"/>
      <c r="E41" s="13"/>
      <c r="F41" s="13"/>
    </row>
    <row r="42" customFormat="false" ht="15" hidden="false" customHeight="true" outlineLevel="0" collapsed="false">
      <c r="B42" s="35" t="s">
        <v>116</v>
      </c>
      <c r="C42" s="35"/>
      <c r="D42" s="36"/>
      <c r="E42" s="13"/>
      <c r="F42" s="13"/>
    </row>
    <row r="43" customFormat="false" ht="15" hidden="false" customHeight="true" outlineLevel="0" collapsed="false">
      <c r="B43" s="35" t="s">
        <v>117</v>
      </c>
      <c r="C43" s="35"/>
      <c r="D43" s="36"/>
      <c r="E43" s="13"/>
      <c r="F43" s="13"/>
    </row>
    <row r="44" customFormat="false" ht="15" hidden="false" customHeight="true" outlineLevel="0" collapsed="false">
      <c r="B44" s="35" t="s">
        <v>118</v>
      </c>
      <c r="C44" s="35"/>
      <c r="D44" s="36"/>
      <c r="E44" s="13"/>
      <c r="F44" s="13"/>
    </row>
    <row r="46" customFormat="false" ht="15" hidden="false" customHeight="true" outlineLevel="0" collapsed="false">
      <c r="B46" s="32" t="s">
        <v>119</v>
      </c>
      <c r="C46" s="32"/>
      <c r="D46" s="32"/>
      <c r="E46" s="32"/>
      <c r="F46" s="32"/>
    </row>
    <row r="47" customFormat="false" ht="39.55" hidden="false" customHeight="false" outlineLevel="0" collapsed="false">
      <c r="B47" s="33" t="s">
        <v>82</v>
      </c>
      <c r="C47" s="34" t="s">
        <v>83</v>
      </c>
      <c r="D47" s="34" t="s">
        <v>84</v>
      </c>
      <c r="E47" s="34"/>
      <c r="F47" s="34"/>
    </row>
    <row r="48" customFormat="false" ht="15" hidden="false" customHeight="true" outlineLevel="0" collapsed="false">
      <c r="B48" s="35" t="s">
        <v>120</v>
      </c>
      <c r="C48" s="35"/>
      <c r="D48" s="36"/>
      <c r="E48" s="13"/>
      <c r="F48" s="13"/>
    </row>
    <row r="49" customFormat="false" ht="15" hidden="false" customHeight="true" outlineLevel="0" collapsed="false">
      <c r="B49" s="35" t="s">
        <v>121</v>
      </c>
      <c r="C49" s="35"/>
      <c r="D49" s="36"/>
      <c r="E49" s="13"/>
      <c r="F49" s="13"/>
    </row>
    <row r="50" customFormat="false" ht="15" hidden="false" customHeight="true" outlineLevel="0" collapsed="false">
      <c r="B50" s="35" t="s">
        <v>122</v>
      </c>
      <c r="C50" s="35"/>
      <c r="D50" s="36"/>
      <c r="E50" s="13"/>
      <c r="F50" s="13"/>
    </row>
    <row r="51" customFormat="false" ht="15" hidden="false" customHeight="true" outlineLevel="0" collapsed="false">
      <c r="B51" s="35" t="s">
        <v>123</v>
      </c>
      <c r="C51" s="35"/>
      <c r="D51" s="36"/>
      <c r="E51" s="13"/>
      <c r="F51" s="13"/>
    </row>
    <row r="52" customFormat="false" ht="15" hidden="false" customHeight="true" outlineLevel="0" collapsed="false">
      <c r="B52" s="35" t="s">
        <v>124</v>
      </c>
      <c r="C52" s="35"/>
      <c r="D52" s="36"/>
      <c r="E52" s="13"/>
      <c r="F52" s="13"/>
    </row>
    <row r="53" customFormat="false" ht="15" hidden="false" customHeight="true" outlineLevel="0" collapsed="false">
      <c r="B53" s="35" t="s">
        <v>125</v>
      </c>
      <c r="C53" s="35"/>
      <c r="D53" s="36"/>
      <c r="E53" s="13"/>
      <c r="F53" s="13"/>
    </row>
    <row r="54" customFormat="false" ht="15" hidden="false" customHeight="true" outlineLevel="0" collapsed="false">
      <c r="B54" s="35" t="s">
        <v>126</v>
      </c>
      <c r="C54" s="35"/>
      <c r="D54" s="36"/>
      <c r="E54" s="13"/>
      <c r="F54" s="13"/>
    </row>
    <row r="56" customFormat="false" ht="15" hidden="false" customHeight="true" outlineLevel="0" collapsed="false">
      <c r="B56" s="32" t="s">
        <v>127</v>
      </c>
      <c r="C56" s="32"/>
      <c r="D56" s="32"/>
      <c r="E56" s="32"/>
      <c r="F56" s="32"/>
    </row>
    <row r="57" customFormat="false" ht="39.55" hidden="false" customHeight="false" outlineLevel="0" collapsed="false">
      <c r="B57" s="33" t="s">
        <v>82</v>
      </c>
      <c r="C57" s="34" t="s">
        <v>83</v>
      </c>
      <c r="D57" s="34" t="s">
        <v>84</v>
      </c>
      <c r="E57" s="34"/>
      <c r="F57" s="34"/>
    </row>
    <row r="58" customFormat="false" ht="15" hidden="false" customHeight="true" outlineLevel="0" collapsed="false">
      <c r="B58" s="35" t="s">
        <v>128</v>
      </c>
      <c r="C58" s="35"/>
      <c r="D58" s="36"/>
      <c r="E58" s="13"/>
      <c r="F58" s="13"/>
    </row>
    <row r="59" customFormat="false" ht="15" hidden="false" customHeight="true" outlineLevel="0" collapsed="false">
      <c r="B59" s="35" t="s">
        <v>129</v>
      </c>
      <c r="C59" s="35"/>
      <c r="D59" s="36"/>
      <c r="E59" s="13"/>
      <c r="F59" s="13"/>
    </row>
    <row r="60" customFormat="false" ht="15" hidden="false" customHeight="true" outlineLevel="0" collapsed="false">
      <c r="B60" s="35" t="s">
        <v>130</v>
      </c>
      <c r="C60" s="35"/>
      <c r="D60" s="36"/>
      <c r="E60" s="13"/>
      <c r="F60" s="13"/>
    </row>
    <row r="61" customFormat="false" ht="15" hidden="false" customHeight="true" outlineLevel="0" collapsed="false">
      <c r="B61" s="35" t="s">
        <v>131</v>
      </c>
      <c r="C61" s="35"/>
      <c r="D61" s="36"/>
      <c r="E61" s="13"/>
      <c r="F61" s="13"/>
    </row>
    <row r="62" customFormat="false" ht="15" hidden="false" customHeight="true" outlineLevel="0" collapsed="false">
      <c r="B62" s="35" t="s">
        <v>132</v>
      </c>
      <c r="C62" s="35"/>
      <c r="D62" s="36"/>
      <c r="E62" s="13"/>
      <c r="F62" s="13"/>
    </row>
    <row r="63" customFormat="false" ht="15" hidden="false" customHeight="true" outlineLevel="0" collapsed="false">
      <c r="B63" s="35" t="s">
        <v>133</v>
      </c>
      <c r="C63" s="35"/>
      <c r="D63" s="36"/>
      <c r="E63" s="13"/>
      <c r="F63" s="13"/>
    </row>
    <row r="64" customFormat="false" ht="15" hidden="false" customHeight="true" outlineLevel="0" collapsed="false">
      <c r="B64" s="35" t="s">
        <v>134</v>
      </c>
      <c r="C64" s="35"/>
      <c r="D64" s="36"/>
      <c r="E64" s="13"/>
      <c r="F64" s="13"/>
    </row>
    <row r="65" customFormat="false" ht="15" hidden="false" customHeight="true" outlineLevel="0" collapsed="false">
      <c r="B65" s="35" t="s">
        <v>135</v>
      </c>
      <c r="C65" s="35"/>
      <c r="D65" s="36"/>
      <c r="E65" s="13"/>
      <c r="F65" s="13"/>
    </row>
    <row r="66" customFormat="false" ht="15" hidden="false" customHeight="true" outlineLevel="0" collapsed="false">
      <c r="B66" s="35" t="s">
        <v>136</v>
      </c>
      <c r="C66" s="35"/>
      <c r="D66" s="36"/>
      <c r="E66" s="13"/>
      <c r="F66" s="13"/>
    </row>
    <row r="68" customFormat="false" ht="15" hidden="false" customHeight="true" outlineLevel="0" collapsed="false">
      <c r="B68" s="32" t="s">
        <v>137</v>
      </c>
      <c r="C68" s="32"/>
      <c r="D68" s="32"/>
      <c r="E68" s="32"/>
      <c r="F68" s="32"/>
    </row>
    <row r="69" customFormat="false" ht="39.55" hidden="false" customHeight="false" outlineLevel="0" collapsed="false">
      <c r="B69" s="33" t="s">
        <v>82</v>
      </c>
      <c r="C69" s="34" t="s">
        <v>83</v>
      </c>
      <c r="D69" s="34" t="s">
        <v>84</v>
      </c>
      <c r="E69" s="34"/>
      <c r="F69" s="34"/>
    </row>
    <row r="70" customFormat="false" ht="15" hidden="false" customHeight="true" outlineLevel="0" collapsed="false">
      <c r="B70" s="35" t="s">
        <v>138</v>
      </c>
      <c r="C70" s="35"/>
      <c r="D70" s="36"/>
      <c r="E70" s="13"/>
      <c r="F70" s="13"/>
    </row>
    <row r="71" customFormat="false" ht="15" hidden="false" customHeight="true" outlineLevel="0" collapsed="false">
      <c r="B71" s="35" t="s">
        <v>139</v>
      </c>
      <c r="C71" s="35"/>
      <c r="D71" s="36"/>
      <c r="E71" s="13"/>
      <c r="F71" s="13"/>
    </row>
    <row r="72" customFormat="false" ht="15" hidden="false" customHeight="true" outlineLevel="0" collapsed="false">
      <c r="B72" s="35" t="s">
        <v>140</v>
      </c>
      <c r="C72" s="35"/>
      <c r="D72" s="36"/>
      <c r="E72" s="13"/>
      <c r="F72" s="13"/>
    </row>
    <row r="73" customFormat="false" ht="15" hidden="false" customHeight="true" outlineLevel="0" collapsed="false">
      <c r="B73" s="35" t="s">
        <v>141</v>
      </c>
      <c r="C73" s="35"/>
      <c r="D73" s="36"/>
      <c r="E73" s="13"/>
      <c r="F73" s="13"/>
    </row>
    <row r="74" customFormat="false" ht="15" hidden="false" customHeight="true" outlineLevel="0" collapsed="false">
      <c r="B74" s="35" t="s">
        <v>142</v>
      </c>
      <c r="C74" s="35"/>
      <c r="D74" s="36"/>
      <c r="E74" s="13"/>
      <c r="F74" s="13"/>
    </row>
    <row r="75" customFormat="false" ht="15" hidden="false" customHeight="true" outlineLevel="0" collapsed="false">
      <c r="B75" s="35" t="s">
        <v>143</v>
      </c>
      <c r="C75" s="35"/>
      <c r="D75" s="36"/>
      <c r="E75" s="13"/>
      <c r="F75" s="13"/>
    </row>
  </sheetData>
  <mergeCells count="122">
    <mergeCell ref="B2:F2"/>
    <mergeCell ref="B3:F3"/>
    <mergeCell ref="B5:F5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9:F19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4:F34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6:F46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6:F56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8:F68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B2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50"/>
    <col collapsed="false" customWidth="true" hidden="false" outlineLevel="0" max="9" min="9" style="0" width="16"/>
  </cols>
  <sheetData>
    <row r="2" customFormat="false" ht="22.05" hidden="false" customHeight="false" outlineLevel="0" collapsed="false">
      <c r="B2" s="31" t="s">
        <v>144</v>
      </c>
      <c r="C2" s="31"/>
      <c r="D2" s="31"/>
      <c r="E2" s="31"/>
      <c r="F2" s="31"/>
      <c r="G2" s="31"/>
      <c r="H2" s="31"/>
      <c r="I2" s="31"/>
    </row>
    <row r="3" customFormat="false" ht="15" hidden="false" customHeight="false" outlineLevel="0" collapsed="false">
      <c r="B3" s="2" t="s">
        <v>145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7" t="s">
        <v>146</v>
      </c>
      <c r="D5" s="37"/>
    </row>
    <row r="6" customFormat="false" ht="15" hidden="false" customHeight="false" outlineLevel="0" collapsed="false">
      <c r="B6" s="3" t="s">
        <v>5</v>
      </c>
      <c r="C6" s="37" t="s">
        <v>147</v>
      </c>
      <c r="D6" s="37"/>
    </row>
    <row r="7" customFormat="false" ht="15" hidden="false" customHeight="false" outlineLevel="0" collapsed="false">
      <c r="B7" s="3" t="s">
        <v>6</v>
      </c>
      <c r="C7" s="37" t="s">
        <v>148</v>
      </c>
      <c r="D7" s="37"/>
    </row>
    <row r="8" customFormat="false" ht="15" hidden="false" customHeight="false" outlineLevel="0" collapsed="false">
      <c r="B8" s="3" t="s">
        <v>7</v>
      </c>
      <c r="C8" s="37" t="s">
        <v>149</v>
      </c>
      <c r="D8" s="37"/>
    </row>
    <row r="9" customFormat="false" ht="15" hidden="false" customHeight="false" outlineLevel="0" collapsed="false">
      <c r="B9" s="3" t="s">
        <v>8</v>
      </c>
      <c r="C9" s="37" t="s">
        <v>150</v>
      </c>
      <c r="D9" s="37"/>
    </row>
    <row r="12" customFormat="false" ht="15" hidden="false" customHeight="false" outlineLevel="0" collapsed="false">
      <c r="B12" s="8" t="s">
        <v>9</v>
      </c>
      <c r="C12" s="8" t="s">
        <v>10</v>
      </c>
      <c r="D12" s="8" t="s">
        <v>11</v>
      </c>
      <c r="E12" s="8" t="s">
        <v>151</v>
      </c>
      <c r="F12" s="8" t="s">
        <v>152</v>
      </c>
      <c r="G12" s="8" t="s">
        <v>153</v>
      </c>
      <c r="H12" s="8" t="s">
        <v>154</v>
      </c>
      <c r="I12" s="8" t="s">
        <v>16</v>
      </c>
    </row>
    <row r="13" customFormat="false" ht="23.85" hidden="false" customHeight="false" outlineLevel="0" collapsed="false">
      <c r="B13" s="9" t="s">
        <v>17</v>
      </c>
      <c r="C13" s="10" t="s">
        <v>18</v>
      </c>
      <c r="D13" s="38" t="n">
        <v>0.08</v>
      </c>
      <c r="E13" s="39" t="n">
        <v>8.5</v>
      </c>
      <c r="F13" s="12" t="n">
        <f aca="false">D13*E13</f>
        <v>0.68</v>
      </c>
      <c r="G13" s="10" t="s">
        <v>155</v>
      </c>
      <c r="H13" s="10" t="s">
        <v>156</v>
      </c>
      <c r="I13" s="9" t="s">
        <v>21</v>
      </c>
    </row>
    <row r="14" customFormat="false" ht="23.85" hidden="false" customHeight="false" outlineLevel="0" collapsed="false">
      <c r="B14" s="14" t="s">
        <v>22</v>
      </c>
      <c r="C14" s="15" t="s">
        <v>23</v>
      </c>
      <c r="D14" s="40" t="n">
        <v>0.1</v>
      </c>
      <c r="E14" s="41" t="n">
        <v>5</v>
      </c>
      <c r="F14" s="16" t="n">
        <f aca="false">D14*E14</f>
        <v>0.5</v>
      </c>
      <c r="G14" s="15" t="s">
        <v>157</v>
      </c>
      <c r="H14" s="15" t="s">
        <v>158</v>
      </c>
      <c r="I14" s="14" t="s">
        <v>21</v>
      </c>
    </row>
    <row r="15" customFormat="false" ht="35.05" hidden="false" customHeight="false" outlineLevel="0" collapsed="false">
      <c r="B15" s="9" t="s">
        <v>26</v>
      </c>
      <c r="C15" s="10" t="s">
        <v>27</v>
      </c>
      <c r="D15" s="38" t="n">
        <v>0.12</v>
      </c>
      <c r="E15" s="39" t="n">
        <v>4</v>
      </c>
      <c r="F15" s="12" t="n">
        <f aca="false">D15*E15</f>
        <v>0.48</v>
      </c>
      <c r="G15" s="10" t="s">
        <v>159</v>
      </c>
      <c r="H15" s="10" t="s">
        <v>160</v>
      </c>
      <c r="I15" s="9" t="s">
        <v>30</v>
      </c>
    </row>
    <row r="16" customFormat="false" ht="23.85" hidden="false" customHeight="false" outlineLevel="0" collapsed="false">
      <c r="B16" s="14" t="s">
        <v>31</v>
      </c>
      <c r="C16" s="15" t="s">
        <v>32</v>
      </c>
      <c r="D16" s="40" t="n">
        <v>0.08</v>
      </c>
      <c r="E16" s="41" t="n">
        <v>8.5</v>
      </c>
      <c r="F16" s="16" t="n">
        <f aca="false">D16*E16</f>
        <v>0.68</v>
      </c>
      <c r="G16" s="15" t="s">
        <v>161</v>
      </c>
      <c r="H16" s="15" t="s">
        <v>162</v>
      </c>
      <c r="I16" s="14" t="s">
        <v>30</v>
      </c>
    </row>
    <row r="17" customFormat="false" ht="23.85" hidden="false" customHeight="false" outlineLevel="0" collapsed="false">
      <c r="B17" s="9" t="s">
        <v>34</v>
      </c>
      <c r="C17" s="10" t="s">
        <v>35</v>
      </c>
      <c r="D17" s="38" t="n">
        <v>0.1</v>
      </c>
      <c r="E17" s="39" t="n">
        <v>4</v>
      </c>
      <c r="F17" s="12" t="n">
        <f aca="false">D17*E17</f>
        <v>0.4</v>
      </c>
      <c r="G17" s="10" t="s">
        <v>163</v>
      </c>
      <c r="H17" s="10" t="s">
        <v>164</v>
      </c>
      <c r="I17" s="9" t="s">
        <v>37</v>
      </c>
    </row>
    <row r="18" customFormat="false" ht="23.85" hidden="false" customHeight="false" outlineLevel="0" collapsed="false">
      <c r="B18" s="14" t="s">
        <v>38</v>
      </c>
      <c r="C18" s="15" t="s">
        <v>39</v>
      </c>
      <c r="D18" s="40" t="n">
        <v>0.05</v>
      </c>
      <c r="E18" s="41" t="n">
        <v>6</v>
      </c>
      <c r="F18" s="16" t="n">
        <f aca="false">D18*E18</f>
        <v>0.3</v>
      </c>
      <c r="G18" s="15" t="s">
        <v>165</v>
      </c>
      <c r="H18" s="15" t="s">
        <v>166</v>
      </c>
      <c r="I18" s="14" t="s">
        <v>37</v>
      </c>
    </row>
    <row r="19" customFormat="false" ht="23.85" hidden="false" customHeight="false" outlineLevel="0" collapsed="false">
      <c r="B19" s="9" t="s">
        <v>42</v>
      </c>
      <c r="C19" s="10" t="s">
        <v>43</v>
      </c>
      <c r="D19" s="38" t="n">
        <v>0.05</v>
      </c>
      <c r="E19" s="39" t="n">
        <v>2.5</v>
      </c>
      <c r="F19" s="12" t="n">
        <f aca="false">D19*E19</f>
        <v>0.125</v>
      </c>
      <c r="G19" s="10" t="s">
        <v>167</v>
      </c>
      <c r="H19" s="10" t="s">
        <v>168</v>
      </c>
      <c r="I19" s="9" t="s">
        <v>37</v>
      </c>
    </row>
    <row r="20" customFormat="false" ht="23.85" hidden="false" customHeight="false" outlineLevel="0" collapsed="false">
      <c r="B20" s="14" t="s">
        <v>45</v>
      </c>
      <c r="C20" s="15" t="s">
        <v>46</v>
      </c>
      <c r="D20" s="40" t="n">
        <v>0.1</v>
      </c>
      <c r="E20" s="41" t="n">
        <v>8</v>
      </c>
      <c r="F20" s="16" t="n">
        <f aca="false">D20*E20</f>
        <v>0.8</v>
      </c>
      <c r="G20" s="15" t="s">
        <v>169</v>
      </c>
      <c r="H20" s="15" t="s">
        <v>170</v>
      </c>
      <c r="I20" s="14" t="s">
        <v>48</v>
      </c>
    </row>
    <row r="21" customFormat="false" ht="23.85" hidden="false" customHeight="false" outlineLevel="0" collapsed="false">
      <c r="B21" s="9" t="s">
        <v>49</v>
      </c>
      <c r="C21" s="10" t="s">
        <v>50</v>
      </c>
      <c r="D21" s="38" t="n">
        <v>0.1</v>
      </c>
      <c r="E21" s="39" t="n">
        <v>9</v>
      </c>
      <c r="F21" s="12" t="n">
        <f aca="false">D21*E21</f>
        <v>0.9</v>
      </c>
      <c r="G21" s="10" t="s">
        <v>171</v>
      </c>
      <c r="H21" s="10" t="s">
        <v>172</v>
      </c>
      <c r="I21" s="9" t="s">
        <v>52</v>
      </c>
    </row>
    <row r="22" customFormat="false" ht="23.85" hidden="false" customHeight="false" outlineLevel="0" collapsed="false">
      <c r="B22" s="14" t="s">
        <v>53</v>
      </c>
      <c r="C22" s="15" t="s">
        <v>54</v>
      </c>
      <c r="D22" s="40" t="n">
        <v>0.08</v>
      </c>
      <c r="E22" s="41" t="n">
        <v>5</v>
      </c>
      <c r="F22" s="16" t="n">
        <f aca="false">D22*E22</f>
        <v>0.4</v>
      </c>
      <c r="G22" s="15" t="s">
        <v>173</v>
      </c>
      <c r="H22" s="15" t="s">
        <v>174</v>
      </c>
      <c r="I22" s="14" t="s">
        <v>56</v>
      </c>
    </row>
    <row r="23" customFormat="false" ht="23.85" hidden="false" customHeight="false" outlineLevel="0" collapsed="false">
      <c r="B23" s="9" t="s">
        <v>57</v>
      </c>
      <c r="C23" s="10" t="s">
        <v>58</v>
      </c>
      <c r="D23" s="38" t="n">
        <v>0.08</v>
      </c>
      <c r="E23" s="39" t="n">
        <v>4.5</v>
      </c>
      <c r="F23" s="12" t="n">
        <f aca="false">D23*E23</f>
        <v>0.36</v>
      </c>
      <c r="G23" s="10" t="s">
        <v>175</v>
      </c>
      <c r="H23" s="10" t="s">
        <v>176</v>
      </c>
      <c r="I23" s="9" t="s">
        <v>56</v>
      </c>
    </row>
    <row r="24" customFormat="false" ht="23.85" hidden="false" customHeight="false" outlineLevel="0" collapsed="false">
      <c r="B24" s="14" t="s">
        <v>60</v>
      </c>
      <c r="C24" s="15" t="s">
        <v>61</v>
      </c>
      <c r="D24" s="40" t="n">
        <v>0.03</v>
      </c>
      <c r="E24" s="41" t="n">
        <v>5</v>
      </c>
      <c r="F24" s="16" t="n">
        <f aca="false">D24*E24</f>
        <v>0.15</v>
      </c>
      <c r="G24" s="15" t="s">
        <v>177</v>
      </c>
      <c r="H24" s="15" t="s">
        <v>178</v>
      </c>
      <c r="I24" s="14" t="s">
        <v>48</v>
      </c>
    </row>
    <row r="25" customFormat="false" ht="23.85" hidden="false" customHeight="false" outlineLevel="0" collapsed="false">
      <c r="B25" s="9" t="s">
        <v>64</v>
      </c>
      <c r="C25" s="10" t="s">
        <v>65</v>
      </c>
      <c r="D25" s="38" t="n">
        <v>0.03</v>
      </c>
      <c r="E25" s="39" t="n">
        <v>8</v>
      </c>
      <c r="F25" s="12" t="n">
        <f aca="false">D25*E25</f>
        <v>0.24</v>
      </c>
      <c r="G25" s="10" t="s">
        <v>179</v>
      </c>
      <c r="H25" s="10" t="s">
        <v>180</v>
      </c>
      <c r="I25" s="9" t="s">
        <v>67</v>
      </c>
    </row>
    <row r="26" customFormat="false" ht="15" hidden="false" customHeight="true" outlineLevel="0" collapsed="false">
      <c r="B26" s="8" t="s">
        <v>68</v>
      </c>
      <c r="C26" s="8"/>
      <c r="D26" s="17" t="n">
        <f aca="false">SUM(D13:D25)</f>
        <v>1</v>
      </c>
      <c r="E26" s="18"/>
      <c r="F26" s="19" t="n">
        <f aca="false">SUM(F13:F25)</f>
        <v>6.015</v>
      </c>
      <c r="G26" s="18"/>
      <c r="H26" s="18"/>
      <c r="I26" s="18"/>
    </row>
    <row r="27" customFormat="false" ht="19.7" hidden="false" customHeight="false" outlineLevel="0" collapsed="false">
      <c r="B27" s="20" t="s">
        <v>3</v>
      </c>
      <c r="C27" s="20"/>
      <c r="D27" s="20"/>
      <c r="E27" s="20"/>
      <c r="F27" s="20"/>
      <c r="G27" s="20"/>
      <c r="H27" s="20"/>
      <c r="I27" s="21" t="n">
        <f aca="false">F26/D26</f>
        <v>6.015</v>
      </c>
    </row>
  </sheetData>
  <mergeCells count="9">
    <mergeCell ref="B2:I2"/>
    <mergeCell ref="B3:I3"/>
    <mergeCell ref="C5:D5"/>
    <mergeCell ref="C6:D6"/>
    <mergeCell ref="C7:D7"/>
    <mergeCell ref="C8:D8"/>
    <mergeCell ref="C9:D9"/>
    <mergeCell ref="B26:C26"/>
    <mergeCell ref="B27:H27"/>
  </mergeCells>
  <conditionalFormatting sqref="E13">
    <cfRule type="cellIs" priority="2" operator="greaterThanOrEqual" aboveAverage="0" equalAverage="0" bottom="0" percent="0" rank="0" text="" dxfId="4">
      <formula>8.5</formula>
    </cfRule>
    <cfRule type="cellIs" priority="3" operator="between" aboveAverage="0" equalAverage="0" bottom="0" percent="0" rank="0" text="" dxfId="5">
      <formula>7</formula>
      <formula>8.4</formula>
    </cfRule>
    <cfRule type="cellIs" priority="4" operator="between" aboveAverage="0" equalAverage="0" bottom="0" percent="0" rank="0" text="" dxfId="6">
      <formula>5.5</formula>
      <formula>6.9</formula>
    </cfRule>
    <cfRule type="cellIs" priority="5" operator="lessThan" aboveAverage="0" equalAverage="0" bottom="0" percent="0" rank="0" text="" dxfId="7">
      <formula>5.5</formula>
    </cfRule>
  </conditionalFormatting>
  <conditionalFormatting sqref="E14">
    <cfRule type="cellIs" priority="6" operator="greaterThanOrEqual" aboveAverage="0" equalAverage="0" bottom="0" percent="0" rank="0" text="" dxfId="4">
      <formula>8.5</formula>
    </cfRule>
    <cfRule type="cellIs" priority="7" operator="between" aboveAverage="0" equalAverage="0" bottom="0" percent="0" rank="0" text="" dxfId="5">
      <formula>7</formula>
      <formula>8.4</formula>
    </cfRule>
    <cfRule type="cellIs" priority="8" operator="between" aboveAverage="0" equalAverage="0" bottom="0" percent="0" rank="0" text="" dxfId="6">
      <formula>5.5</formula>
      <formula>6.9</formula>
    </cfRule>
    <cfRule type="cellIs" priority="9" operator="lessThan" aboveAverage="0" equalAverage="0" bottom="0" percent="0" rank="0" text="" dxfId="7">
      <formula>5.5</formula>
    </cfRule>
  </conditionalFormatting>
  <conditionalFormatting sqref="E15">
    <cfRule type="cellIs" priority="10" operator="greaterThanOrEqual" aboveAverage="0" equalAverage="0" bottom="0" percent="0" rank="0" text="" dxfId="4">
      <formula>8.5</formula>
    </cfRule>
    <cfRule type="cellIs" priority="11" operator="between" aboveAverage="0" equalAverage="0" bottom="0" percent="0" rank="0" text="" dxfId="5">
      <formula>7</formula>
      <formula>8.4</formula>
    </cfRule>
    <cfRule type="cellIs" priority="12" operator="between" aboveAverage="0" equalAverage="0" bottom="0" percent="0" rank="0" text="" dxfId="6">
      <formula>5.5</formula>
      <formula>6.9</formula>
    </cfRule>
    <cfRule type="cellIs" priority="13" operator="lessThan" aboveAverage="0" equalAverage="0" bottom="0" percent="0" rank="0" text="" dxfId="7">
      <formula>5.5</formula>
    </cfRule>
  </conditionalFormatting>
  <conditionalFormatting sqref="E16">
    <cfRule type="cellIs" priority="14" operator="greaterThanOrEqual" aboveAverage="0" equalAverage="0" bottom="0" percent="0" rank="0" text="" dxfId="4">
      <formula>8.5</formula>
    </cfRule>
    <cfRule type="cellIs" priority="15" operator="between" aboveAverage="0" equalAverage="0" bottom="0" percent="0" rank="0" text="" dxfId="5">
      <formula>7</formula>
      <formula>8.4</formula>
    </cfRule>
    <cfRule type="cellIs" priority="16" operator="between" aboveAverage="0" equalAverage="0" bottom="0" percent="0" rank="0" text="" dxfId="6">
      <formula>5.5</formula>
      <formula>6.9</formula>
    </cfRule>
    <cfRule type="cellIs" priority="17" operator="lessThan" aboveAverage="0" equalAverage="0" bottom="0" percent="0" rank="0" text="" dxfId="7">
      <formula>5.5</formula>
    </cfRule>
  </conditionalFormatting>
  <conditionalFormatting sqref="E17">
    <cfRule type="cellIs" priority="18" operator="greaterThanOrEqual" aboveAverage="0" equalAverage="0" bottom="0" percent="0" rank="0" text="" dxfId="4">
      <formula>8.5</formula>
    </cfRule>
    <cfRule type="cellIs" priority="19" operator="between" aboveAverage="0" equalAverage="0" bottom="0" percent="0" rank="0" text="" dxfId="5">
      <formula>7</formula>
      <formula>8.4</formula>
    </cfRule>
    <cfRule type="cellIs" priority="20" operator="between" aboveAverage="0" equalAverage="0" bottom="0" percent="0" rank="0" text="" dxfId="6">
      <formula>5.5</formula>
      <formula>6.9</formula>
    </cfRule>
    <cfRule type="cellIs" priority="21" operator="lessThan" aboveAverage="0" equalAverage="0" bottom="0" percent="0" rank="0" text="" dxfId="7">
      <formula>5.5</formula>
    </cfRule>
  </conditionalFormatting>
  <conditionalFormatting sqref="E18">
    <cfRule type="cellIs" priority="22" operator="greaterThanOrEqual" aboveAverage="0" equalAverage="0" bottom="0" percent="0" rank="0" text="" dxfId="4">
      <formula>8.5</formula>
    </cfRule>
    <cfRule type="cellIs" priority="23" operator="between" aboveAverage="0" equalAverage="0" bottom="0" percent="0" rank="0" text="" dxfId="5">
      <formula>7</formula>
      <formula>8.4</formula>
    </cfRule>
    <cfRule type="cellIs" priority="24" operator="between" aboveAverage="0" equalAverage="0" bottom="0" percent="0" rank="0" text="" dxfId="6">
      <formula>5.5</formula>
      <formula>6.9</formula>
    </cfRule>
    <cfRule type="cellIs" priority="25" operator="lessThan" aboveAverage="0" equalAverage="0" bottom="0" percent="0" rank="0" text="" dxfId="7">
      <formula>5.5</formula>
    </cfRule>
  </conditionalFormatting>
  <conditionalFormatting sqref="E19">
    <cfRule type="cellIs" priority="26" operator="greaterThanOrEqual" aboveAverage="0" equalAverage="0" bottom="0" percent="0" rank="0" text="" dxfId="4">
      <formula>8.5</formula>
    </cfRule>
    <cfRule type="cellIs" priority="27" operator="between" aboveAverage="0" equalAverage="0" bottom="0" percent="0" rank="0" text="" dxfId="5">
      <formula>7</formula>
      <formula>8.4</formula>
    </cfRule>
    <cfRule type="cellIs" priority="28" operator="between" aboveAverage="0" equalAverage="0" bottom="0" percent="0" rank="0" text="" dxfId="6">
      <formula>5.5</formula>
      <formula>6.9</formula>
    </cfRule>
    <cfRule type="cellIs" priority="29" operator="lessThan" aboveAverage="0" equalAverage="0" bottom="0" percent="0" rank="0" text="" dxfId="7">
      <formula>5.5</formula>
    </cfRule>
  </conditionalFormatting>
  <conditionalFormatting sqref="E20">
    <cfRule type="cellIs" priority="30" operator="greaterThanOrEqual" aboveAverage="0" equalAverage="0" bottom="0" percent="0" rank="0" text="" dxfId="4">
      <formula>8.5</formula>
    </cfRule>
    <cfRule type="cellIs" priority="31" operator="between" aboveAverage="0" equalAverage="0" bottom="0" percent="0" rank="0" text="" dxfId="5">
      <formula>7</formula>
      <formula>8.4</formula>
    </cfRule>
    <cfRule type="cellIs" priority="32" operator="between" aboveAverage="0" equalAverage="0" bottom="0" percent="0" rank="0" text="" dxfId="6">
      <formula>5.5</formula>
      <formula>6.9</formula>
    </cfRule>
    <cfRule type="cellIs" priority="33" operator="lessThan" aboveAverage="0" equalAverage="0" bottom="0" percent="0" rank="0" text="" dxfId="7">
      <formula>5.5</formula>
    </cfRule>
  </conditionalFormatting>
  <conditionalFormatting sqref="E21">
    <cfRule type="cellIs" priority="34" operator="greaterThanOrEqual" aboveAverage="0" equalAverage="0" bottom="0" percent="0" rank="0" text="" dxfId="4">
      <formula>8.5</formula>
    </cfRule>
    <cfRule type="cellIs" priority="35" operator="between" aboveAverage="0" equalAverage="0" bottom="0" percent="0" rank="0" text="" dxfId="5">
      <formula>7</formula>
      <formula>8.4</formula>
    </cfRule>
    <cfRule type="cellIs" priority="36" operator="between" aboveAverage="0" equalAverage="0" bottom="0" percent="0" rank="0" text="" dxfId="6">
      <formula>5.5</formula>
      <formula>6.9</formula>
    </cfRule>
    <cfRule type="cellIs" priority="37" operator="lessThan" aboveAverage="0" equalAverage="0" bottom="0" percent="0" rank="0" text="" dxfId="7">
      <formula>5.5</formula>
    </cfRule>
  </conditionalFormatting>
  <conditionalFormatting sqref="E22">
    <cfRule type="cellIs" priority="38" operator="greaterThanOrEqual" aboveAverage="0" equalAverage="0" bottom="0" percent="0" rank="0" text="" dxfId="4">
      <formula>8.5</formula>
    </cfRule>
    <cfRule type="cellIs" priority="39" operator="between" aboveAverage="0" equalAverage="0" bottom="0" percent="0" rank="0" text="" dxfId="5">
      <formula>7</formula>
      <formula>8.4</formula>
    </cfRule>
    <cfRule type="cellIs" priority="40" operator="between" aboveAverage="0" equalAverage="0" bottom="0" percent="0" rank="0" text="" dxfId="6">
      <formula>5.5</formula>
      <formula>6.9</formula>
    </cfRule>
    <cfRule type="cellIs" priority="41" operator="lessThan" aboveAverage="0" equalAverage="0" bottom="0" percent="0" rank="0" text="" dxfId="7">
      <formula>5.5</formula>
    </cfRule>
  </conditionalFormatting>
  <conditionalFormatting sqref="E23">
    <cfRule type="cellIs" priority="42" operator="greaterThanOrEqual" aboveAverage="0" equalAverage="0" bottom="0" percent="0" rank="0" text="" dxfId="4">
      <formula>8.5</formula>
    </cfRule>
    <cfRule type="cellIs" priority="43" operator="between" aboveAverage="0" equalAverage="0" bottom="0" percent="0" rank="0" text="" dxfId="5">
      <formula>7</formula>
      <formula>8.4</formula>
    </cfRule>
    <cfRule type="cellIs" priority="44" operator="between" aboveAverage="0" equalAverage="0" bottom="0" percent="0" rank="0" text="" dxfId="6">
      <formula>5.5</formula>
      <formula>6.9</formula>
    </cfRule>
    <cfRule type="cellIs" priority="45" operator="lessThan" aboveAverage="0" equalAverage="0" bottom="0" percent="0" rank="0" text="" dxfId="7">
      <formula>5.5</formula>
    </cfRule>
  </conditionalFormatting>
  <conditionalFormatting sqref="E24">
    <cfRule type="cellIs" priority="46" operator="greaterThanOrEqual" aboveAverage="0" equalAverage="0" bottom="0" percent="0" rank="0" text="" dxfId="4">
      <formula>8.5</formula>
    </cfRule>
    <cfRule type="cellIs" priority="47" operator="between" aboveAverage="0" equalAverage="0" bottom="0" percent="0" rank="0" text="" dxfId="5">
      <formula>7</formula>
      <formula>8.4</formula>
    </cfRule>
    <cfRule type="cellIs" priority="48" operator="between" aboveAverage="0" equalAverage="0" bottom="0" percent="0" rank="0" text="" dxfId="6">
      <formula>5.5</formula>
      <formula>6.9</formula>
    </cfRule>
    <cfRule type="cellIs" priority="49" operator="lessThan" aboveAverage="0" equalAverage="0" bottom="0" percent="0" rank="0" text="" dxfId="7">
      <formula>5.5</formula>
    </cfRule>
  </conditionalFormatting>
  <conditionalFormatting sqref="E25">
    <cfRule type="cellIs" priority="50" operator="greaterThanOrEqual" aboveAverage="0" equalAverage="0" bottom="0" percent="0" rank="0" text="" dxfId="4">
      <formula>8.5</formula>
    </cfRule>
    <cfRule type="cellIs" priority="51" operator="between" aboveAverage="0" equalAverage="0" bottom="0" percent="0" rank="0" text="" dxfId="5">
      <formula>7</formula>
      <formula>8.4</formula>
    </cfRule>
    <cfRule type="cellIs" priority="52" operator="between" aboveAverage="0" equalAverage="0" bottom="0" percent="0" rank="0" text="" dxfId="6">
      <formula>5.5</formula>
      <formula>6.9</formula>
    </cfRule>
    <cfRule type="cellIs" priority="53" operator="lessThan" aboveAverage="0" equalAverage="0" bottom="0" percent="0" rank="0" text="" dxfId="7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false"/>
  </sheetPr>
  <dimension ref="B2:U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9" min="7" style="0" width="10"/>
    <col collapsed="false" customWidth="true" hidden="false" outlineLevel="0" max="20" min="20" style="0" width="12"/>
    <col collapsed="false" customWidth="true" hidden="false" outlineLevel="0" max="21" min="21" style="0" width="14"/>
  </cols>
  <sheetData>
    <row r="2" customFormat="false" ht="22.05" hidden="false" customHeight="false" outlineLevel="0" collapsed="false">
      <c r="B2" s="31" t="s">
        <v>181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customFormat="false" ht="15" hidden="false" customHeight="false" outlineLevel="0" collapsed="false">
      <c r="B3" s="2" t="s">
        <v>182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customFormat="false" ht="26.85" hidden="false" customHeight="false" outlineLevel="0" collapsed="false">
      <c r="B5" s="8" t="s">
        <v>183</v>
      </c>
      <c r="C5" s="8" t="s">
        <v>184</v>
      </c>
      <c r="D5" s="8" t="s">
        <v>185</v>
      </c>
      <c r="E5" s="8" t="s">
        <v>186</v>
      </c>
      <c r="F5" s="8" t="s">
        <v>187</v>
      </c>
      <c r="G5" s="8" t="s">
        <v>188</v>
      </c>
      <c r="H5" s="8" t="s">
        <v>189</v>
      </c>
      <c r="I5" s="8" t="s">
        <v>190</v>
      </c>
      <c r="J5" s="8" t="s">
        <v>191</v>
      </c>
      <c r="K5" s="8" t="s">
        <v>192</v>
      </c>
      <c r="L5" s="8" t="s">
        <v>193</v>
      </c>
      <c r="M5" s="8" t="s">
        <v>194</v>
      </c>
      <c r="N5" s="8" t="s">
        <v>195</v>
      </c>
      <c r="O5" s="8" t="s">
        <v>196</v>
      </c>
      <c r="P5" s="8" t="s">
        <v>197</v>
      </c>
      <c r="Q5" s="8" t="s">
        <v>198</v>
      </c>
      <c r="R5" s="8" t="s">
        <v>199</v>
      </c>
      <c r="S5" s="8" t="s">
        <v>200</v>
      </c>
      <c r="T5" s="8" t="s">
        <v>201</v>
      </c>
      <c r="U5" s="8" t="s">
        <v>202</v>
      </c>
    </row>
    <row r="6" customFormat="false" ht="15" hidden="false" customHeight="false" outlineLevel="0" collapsed="false">
      <c r="B6" s="9" t="s">
        <v>148</v>
      </c>
      <c r="C6" s="9" t="s">
        <v>203</v>
      </c>
      <c r="D6" s="9" t="s">
        <v>204</v>
      </c>
      <c r="E6" s="9" t="n">
        <v>164</v>
      </c>
      <c r="F6" s="9" t="s">
        <v>205</v>
      </c>
      <c r="G6" s="9" t="n">
        <v>8.5</v>
      </c>
      <c r="H6" s="9" t="n">
        <v>5</v>
      </c>
      <c r="I6" s="9" t="n">
        <v>4</v>
      </c>
      <c r="J6" s="9" t="n">
        <v>8.5</v>
      </c>
      <c r="K6" s="9" t="n">
        <v>4</v>
      </c>
      <c r="L6" s="9" t="n">
        <v>6</v>
      </c>
      <c r="M6" s="9" t="n">
        <v>2.5</v>
      </c>
      <c r="N6" s="9" t="n">
        <v>8</v>
      </c>
      <c r="O6" s="9" t="n">
        <v>9</v>
      </c>
      <c r="P6" s="9" t="n">
        <v>5</v>
      </c>
      <c r="Q6" s="9" t="n">
        <v>4.5</v>
      </c>
      <c r="R6" s="9" t="n">
        <v>5</v>
      </c>
      <c r="S6" s="9" t="n">
        <v>8</v>
      </c>
      <c r="T6" s="42" t="n">
        <f aca="false">(G6*0.08+H6*0.1+I6*0.12+J6*0.08+K6*0.1+L6*0.05+M6*0.05+N6*0.1+O6*0.1+P6*0.08+Q6*0.08+R6*0.03+S6*0.03)</f>
        <v>6.015</v>
      </c>
      <c r="U6" s="43" t="str">
        <f aca="false">IF(T6&gt;=8.5,"ELITE",IF(T6&gt;=7,"FORTE",IF(T6&gt;=5.5,"MEDIANA","FRACA")))</f>
        <v>MEDIANA</v>
      </c>
    </row>
    <row r="7" customFormat="false" ht="15" hidden="false" customHeight="false" outlineLevel="0" collapsed="false">
      <c r="B7" s="44"/>
      <c r="C7" s="44"/>
      <c r="D7" s="44"/>
      <c r="E7" s="44"/>
      <c r="F7" s="44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45" t="str">
        <f aca="false">IF(G7="","",G7*0.08+H7*0.1+I7*0.12+J7*0.08+K7*0.1+L7*0.05+M7*0.05+N7*0.1+O7*0.1+P7*0.08+Q7*0.08+R7*0.03+S7*0.03)</f>
        <v/>
      </c>
      <c r="U7" s="46" t="str">
        <f aca="false">IF(T7="","",IF(T7&gt;=8.5,"ELITE",IF(T7&gt;=7,"FORTE",IF(T7&gt;=5.5,"MEDIANA","FRACA"))))</f>
        <v/>
      </c>
    </row>
    <row r="8" customFormat="false" ht="15" hidden="false" customHeight="false" outlineLevel="0" collapsed="false">
      <c r="B8" s="44"/>
      <c r="C8" s="44"/>
      <c r="D8" s="44"/>
      <c r="E8" s="44"/>
      <c r="F8" s="44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45" t="str">
        <f aca="false">IF(G8="","",G8*0.08+H8*0.1+I8*0.12+J8*0.08+K8*0.1+L8*0.05+M8*0.05+N8*0.1+O8*0.1+P8*0.08+Q8*0.08+R8*0.03+S8*0.03)</f>
        <v/>
      </c>
      <c r="U8" s="46" t="str">
        <f aca="false">IF(T8="","",IF(T8&gt;=8.5,"ELITE",IF(T8&gt;=7,"FORTE",IF(T8&gt;=5.5,"MEDIANA","FRACA"))))</f>
        <v/>
      </c>
    </row>
    <row r="9" customFormat="false" ht="15" hidden="false" customHeight="false" outlineLevel="0" collapsed="false">
      <c r="B9" s="44"/>
      <c r="C9" s="44"/>
      <c r="D9" s="44"/>
      <c r="E9" s="44"/>
      <c r="F9" s="44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45" t="str">
        <f aca="false">IF(G9="","",G9*0.08+H9*0.1+I9*0.12+J9*0.08+K9*0.1+L9*0.05+M9*0.05+N9*0.1+O9*0.1+P9*0.08+Q9*0.08+R9*0.03+S9*0.03)</f>
        <v/>
      </c>
      <c r="U9" s="46" t="str">
        <f aca="false">IF(T9="","",IF(T9&gt;=8.5,"ELITE",IF(T9&gt;=7,"FORTE",IF(T9&gt;=5.5,"MEDIANA","FRACA"))))</f>
        <v/>
      </c>
    </row>
    <row r="10" customFormat="false" ht="15" hidden="false" customHeight="false" outlineLevel="0" collapsed="false">
      <c r="B10" s="44"/>
      <c r="C10" s="44"/>
      <c r="D10" s="44"/>
      <c r="E10" s="44"/>
      <c r="F10" s="44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45" t="str">
        <f aca="false">IF(G10="","",G10*0.08+H10*0.1+I10*0.12+J10*0.08+K10*0.1+L10*0.05+M10*0.05+N10*0.1+O10*0.1+P10*0.08+Q10*0.08+R10*0.03+S10*0.03)</f>
        <v/>
      </c>
      <c r="U10" s="46" t="str">
        <f aca="false">IF(T10="","",IF(T10&gt;=8.5,"ELITE",IF(T10&gt;=7,"FORTE",IF(T10&gt;=5.5,"MEDIANA","FRACA"))))</f>
        <v/>
      </c>
    </row>
    <row r="11" customFormat="false" ht="15" hidden="false" customHeight="false" outlineLevel="0" collapsed="false">
      <c r="B11" s="44"/>
      <c r="C11" s="44"/>
      <c r="D11" s="44"/>
      <c r="E11" s="44"/>
      <c r="F11" s="44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45" t="str">
        <f aca="false">IF(G11="","",G11*0.08+H11*0.1+I11*0.12+J11*0.08+K11*0.1+L11*0.05+M11*0.05+N11*0.1+O11*0.1+P11*0.08+Q11*0.08+R11*0.03+S11*0.03)</f>
        <v/>
      </c>
      <c r="U11" s="46" t="str">
        <f aca="false">IF(T11="","",IF(T11&gt;=8.5,"ELITE",IF(T11&gt;=7,"FORTE",IF(T11&gt;=5.5,"MEDIANA","FRACA"))))</f>
        <v/>
      </c>
    </row>
    <row r="12" customFormat="false" ht="15" hidden="false" customHeight="false" outlineLevel="0" collapsed="false">
      <c r="B12" s="44"/>
      <c r="C12" s="44"/>
      <c r="D12" s="44"/>
      <c r="E12" s="44"/>
      <c r="F12" s="44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45" t="str">
        <f aca="false">IF(G12="","",G12*0.08+H12*0.1+I12*0.12+J12*0.08+K12*0.1+L12*0.05+M12*0.05+N12*0.1+O12*0.1+P12*0.08+Q12*0.08+R12*0.03+S12*0.03)</f>
        <v/>
      </c>
      <c r="U12" s="46" t="str">
        <f aca="false">IF(T12="","",IF(T12&gt;=8.5,"ELITE",IF(T12&gt;=7,"FORTE",IF(T12&gt;=5.5,"MEDIANA","FRACA"))))</f>
        <v/>
      </c>
    </row>
    <row r="13" customFormat="false" ht="15" hidden="false" customHeight="false" outlineLevel="0" collapsed="false">
      <c r="B13" s="44"/>
      <c r="C13" s="44"/>
      <c r="D13" s="44"/>
      <c r="E13" s="44"/>
      <c r="F13" s="4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45" t="str">
        <f aca="false">IF(G13="","",G13*0.08+H13*0.1+I13*0.12+J13*0.08+K13*0.1+L13*0.05+M13*0.05+N13*0.1+O13*0.1+P13*0.08+Q13*0.08+R13*0.03+S13*0.03)</f>
        <v/>
      </c>
      <c r="U13" s="46" t="str">
        <f aca="false">IF(T13="","",IF(T13&gt;=8.5,"ELITE",IF(T13&gt;=7,"FORTE",IF(T13&gt;=5.5,"MEDIANA","FRACA"))))</f>
        <v/>
      </c>
    </row>
    <row r="14" customFormat="false" ht="15" hidden="false" customHeight="false" outlineLevel="0" collapsed="false">
      <c r="B14" s="44"/>
      <c r="C14" s="44"/>
      <c r="D14" s="44"/>
      <c r="E14" s="44"/>
      <c r="F14" s="44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45" t="str">
        <f aca="false">IF(G14="","",G14*0.08+H14*0.1+I14*0.12+J14*0.08+K14*0.1+L14*0.05+M14*0.05+N14*0.1+O14*0.1+P14*0.08+Q14*0.08+R14*0.03+S14*0.03)</f>
        <v/>
      </c>
      <c r="U14" s="46" t="str">
        <f aca="false">IF(T14="","",IF(T14&gt;=8.5,"ELITE",IF(T14&gt;=7,"FORTE",IF(T14&gt;=5.5,"MEDIANA","FRACA"))))</f>
        <v/>
      </c>
    </row>
    <row r="15" customFormat="false" ht="15" hidden="false" customHeight="false" outlineLevel="0" collapsed="false">
      <c r="B15" s="44"/>
      <c r="C15" s="44"/>
      <c r="D15" s="44"/>
      <c r="E15" s="44"/>
      <c r="F15" s="4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45" t="str">
        <f aca="false">IF(G15="","",G15*0.08+H15*0.1+I15*0.12+J15*0.08+K15*0.1+L15*0.05+M15*0.05+N15*0.1+O15*0.1+P15*0.08+Q15*0.08+R15*0.03+S15*0.03)</f>
        <v/>
      </c>
      <c r="U15" s="46" t="str">
        <f aca="false">IF(T15="","",IF(T15&gt;=8.5,"ELITE",IF(T15&gt;=7,"FORTE",IF(T15&gt;=5.5,"MEDIANA","FRACA"))))</f>
        <v/>
      </c>
    </row>
    <row r="16" customFormat="false" ht="15" hidden="false" customHeight="false" outlineLevel="0" collapsed="false">
      <c r="B16" s="44"/>
      <c r="C16" s="44"/>
      <c r="D16" s="44"/>
      <c r="E16" s="44"/>
      <c r="F16" s="4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45" t="str">
        <f aca="false">IF(G16="","",G16*0.08+H16*0.1+I16*0.12+J16*0.08+K16*0.1+L16*0.05+M16*0.05+N16*0.1+O16*0.1+P16*0.08+Q16*0.08+R16*0.03+S16*0.03)</f>
        <v/>
      </c>
      <c r="U16" s="46" t="str">
        <f aca="false">IF(T16="","",IF(T16&gt;=8.5,"ELITE",IF(T16&gt;=7,"FORTE",IF(T16&gt;=5.5,"MEDIANA","FRACA"))))</f>
        <v/>
      </c>
    </row>
    <row r="17" customFormat="false" ht="15" hidden="false" customHeight="false" outlineLevel="0" collapsed="false">
      <c r="B17" s="44"/>
      <c r="C17" s="44"/>
      <c r="D17" s="44"/>
      <c r="E17" s="44"/>
      <c r="F17" s="4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45" t="str">
        <f aca="false">IF(G17="","",G17*0.08+H17*0.1+I17*0.12+J17*0.08+K17*0.1+L17*0.05+M17*0.05+N17*0.1+O17*0.1+P17*0.08+Q17*0.08+R17*0.03+S17*0.03)</f>
        <v/>
      </c>
      <c r="U17" s="46" t="str">
        <f aca="false">IF(T17="","",IF(T17&gt;=8.5,"ELITE",IF(T17&gt;=7,"FORTE",IF(T17&gt;=5.5,"MEDIANA","FRACA"))))</f>
        <v/>
      </c>
    </row>
    <row r="18" customFormat="false" ht="15" hidden="false" customHeight="false" outlineLevel="0" collapsed="false">
      <c r="B18" s="44"/>
      <c r="C18" s="44"/>
      <c r="D18" s="44"/>
      <c r="E18" s="44"/>
      <c r="F18" s="4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45" t="str">
        <f aca="false">IF(G18="","",G18*0.08+H18*0.1+I18*0.12+J18*0.08+K18*0.1+L18*0.05+M18*0.05+N18*0.1+O18*0.1+P18*0.08+Q18*0.08+R18*0.03+S18*0.03)</f>
        <v/>
      </c>
      <c r="U18" s="46" t="str">
        <f aca="false">IF(T18="","",IF(T18&gt;=8.5,"ELITE",IF(T18&gt;=7,"FORTE",IF(T18&gt;=5.5,"MEDIANA","FRACA"))))</f>
        <v/>
      </c>
    </row>
    <row r="19" customFormat="false" ht="15" hidden="false" customHeight="false" outlineLevel="0" collapsed="false">
      <c r="B19" s="44"/>
      <c r="C19" s="44"/>
      <c r="D19" s="44"/>
      <c r="E19" s="44"/>
      <c r="F19" s="4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45" t="str">
        <f aca="false">IF(G19="","",G19*0.08+H19*0.1+I19*0.12+J19*0.08+K19*0.1+L19*0.05+M19*0.05+N19*0.1+O19*0.1+P19*0.08+Q19*0.08+R19*0.03+S19*0.03)</f>
        <v/>
      </c>
      <c r="U19" s="46" t="str">
        <f aca="false">IF(T19="","",IF(T19&gt;=8.5,"ELITE",IF(T19&gt;=7,"FORTE",IF(T19&gt;=5.5,"MEDIANA","FRACA"))))</f>
        <v/>
      </c>
    </row>
    <row r="20" customFormat="false" ht="15" hidden="false" customHeight="false" outlineLevel="0" collapsed="false">
      <c r="B20" s="44"/>
      <c r="C20" s="44"/>
      <c r="D20" s="44"/>
      <c r="E20" s="44"/>
      <c r="F20" s="4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45" t="str">
        <f aca="false">IF(G20="","",G20*0.08+H20*0.1+I20*0.12+J20*0.08+K20*0.1+L20*0.05+M20*0.05+N20*0.1+O20*0.1+P20*0.08+Q20*0.08+R20*0.03+S20*0.03)</f>
        <v/>
      </c>
      <c r="U20" s="46" t="str">
        <f aca="false">IF(T20="","",IF(T20&gt;=8.5,"ELITE",IF(T20&gt;=7,"FORTE",IF(T20&gt;=5.5,"MEDIANA","FRACA"))))</f>
        <v/>
      </c>
    </row>
    <row r="21" customFormat="false" ht="15" hidden="false" customHeight="false" outlineLevel="0" collapsed="false">
      <c r="B21" s="44"/>
      <c r="C21" s="44"/>
      <c r="D21" s="44"/>
      <c r="E21" s="44"/>
      <c r="F21" s="4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45" t="str">
        <f aca="false">IF(G21="","",G21*0.08+H21*0.1+I21*0.12+J21*0.08+K21*0.1+L21*0.05+M21*0.05+N21*0.1+O21*0.1+P21*0.08+Q21*0.08+R21*0.03+S21*0.03)</f>
        <v/>
      </c>
      <c r="U21" s="46" t="str">
        <f aca="false">IF(T21="","",IF(T21&gt;=8.5,"ELITE",IF(T21&gt;=7,"FORTE",IF(T21&gt;=5.5,"MEDIANA","FRACA"))))</f>
        <v/>
      </c>
    </row>
    <row r="22" customFormat="false" ht="15" hidden="false" customHeight="false" outlineLevel="0" collapsed="false">
      <c r="B22" s="44"/>
      <c r="C22" s="44"/>
      <c r="D22" s="44"/>
      <c r="E22" s="44"/>
      <c r="F22" s="4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45" t="str">
        <f aca="false">IF(G22="","",G22*0.08+H22*0.1+I22*0.12+J22*0.08+K22*0.1+L22*0.05+M22*0.05+N22*0.1+O22*0.1+P22*0.08+Q22*0.08+R22*0.03+S22*0.03)</f>
        <v/>
      </c>
      <c r="U22" s="46" t="str">
        <f aca="false">IF(T22="","",IF(T22&gt;=8.5,"ELITE",IF(T22&gt;=7,"FORTE",IF(T22&gt;=5.5,"MEDIANA","FRACA"))))</f>
        <v/>
      </c>
    </row>
    <row r="23" customFormat="false" ht="15" hidden="false" customHeight="false" outlineLevel="0" collapsed="false">
      <c r="B23" s="44"/>
      <c r="C23" s="44"/>
      <c r="D23" s="44"/>
      <c r="E23" s="44"/>
      <c r="F23" s="4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45" t="str">
        <f aca="false">IF(G23="","",G23*0.08+H23*0.1+I23*0.12+J23*0.08+K23*0.1+L23*0.05+M23*0.05+N23*0.1+O23*0.1+P23*0.08+Q23*0.08+R23*0.03+S23*0.03)</f>
        <v/>
      </c>
      <c r="U23" s="46" t="str">
        <f aca="false">IF(T23="","",IF(T23&gt;=8.5,"ELITE",IF(T23&gt;=7,"FORTE",IF(T23&gt;=5.5,"MEDIANA","FRACA"))))</f>
        <v/>
      </c>
    </row>
    <row r="24" customFormat="false" ht="15" hidden="false" customHeight="false" outlineLevel="0" collapsed="false">
      <c r="B24" s="44"/>
      <c r="C24" s="44"/>
      <c r="D24" s="44"/>
      <c r="E24" s="44"/>
      <c r="F24" s="4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45" t="str">
        <f aca="false">IF(G24="","",G24*0.08+H24*0.1+I24*0.12+J24*0.08+K24*0.1+L24*0.05+M24*0.05+N24*0.1+O24*0.1+P24*0.08+Q24*0.08+R24*0.03+S24*0.03)</f>
        <v/>
      </c>
      <c r="U24" s="46" t="str">
        <f aca="false">IF(T24="","",IF(T24&gt;=8.5,"ELITE",IF(T24&gt;=7,"FORTE",IF(T24&gt;=5.5,"MEDIANA","FRACA"))))</f>
        <v/>
      </c>
    </row>
    <row r="25" customFormat="false" ht="15" hidden="false" customHeight="false" outlineLevel="0" collapsed="false">
      <c r="B25" s="44"/>
      <c r="C25" s="44"/>
      <c r="D25" s="44"/>
      <c r="E25" s="44"/>
      <c r="F25" s="4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45" t="str">
        <f aca="false">IF(G25="","",G25*0.08+H25*0.1+I25*0.12+J25*0.08+K25*0.1+L25*0.05+M25*0.05+N25*0.1+O25*0.1+P25*0.08+Q25*0.08+R25*0.03+S25*0.03)</f>
        <v/>
      </c>
      <c r="U25" s="46" t="str">
        <f aca="false">IF(T25="","",IF(T25&gt;=8.5,"ELITE",IF(T25&gt;=7,"FORTE",IF(T25&gt;=5.5,"MEDIANA","FRACA"))))</f>
        <v/>
      </c>
    </row>
    <row r="26" customFormat="false" ht="15" hidden="false" customHeight="false" outlineLevel="0" collapsed="false">
      <c r="B26" s="44"/>
      <c r="C26" s="44"/>
      <c r="D26" s="44"/>
      <c r="E26" s="44"/>
      <c r="F26" s="4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45" t="str">
        <f aca="false">IF(G26="","",G26*0.08+H26*0.1+I26*0.12+J26*0.08+K26*0.1+L26*0.05+M26*0.05+N26*0.1+O26*0.1+P26*0.08+Q26*0.08+R26*0.03+S26*0.03)</f>
        <v/>
      </c>
      <c r="U26" s="46" t="str">
        <f aca="false">IF(T26="","",IF(T26&gt;=8.5,"ELITE",IF(T26&gt;=7,"FORTE",IF(T26&gt;=5.5,"MEDIANA","FRACA"))))</f>
        <v/>
      </c>
    </row>
    <row r="27" customFormat="false" ht="15" hidden="false" customHeight="false" outlineLevel="0" collapsed="false">
      <c r="B27" s="44"/>
      <c r="C27" s="44"/>
      <c r="D27" s="44"/>
      <c r="E27" s="44"/>
      <c r="F27" s="4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45" t="str">
        <f aca="false">IF(G27="","",G27*0.08+H27*0.1+I27*0.12+J27*0.08+K27*0.1+L27*0.05+M27*0.05+N27*0.1+O27*0.1+P27*0.08+Q27*0.08+R27*0.03+S27*0.03)</f>
        <v/>
      </c>
      <c r="U27" s="46" t="str">
        <f aca="false">IF(T27="","",IF(T27&gt;=8.5,"ELITE",IF(T27&gt;=7,"FORTE",IF(T27&gt;=5.5,"MEDIANA","FRACA"))))</f>
        <v/>
      </c>
    </row>
    <row r="28" customFormat="false" ht="15" hidden="false" customHeight="false" outlineLevel="0" collapsed="false">
      <c r="B28" s="44"/>
      <c r="C28" s="44"/>
      <c r="D28" s="44"/>
      <c r="E28" s="44"/>
      <c r="F28" s="4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45" t="str">
        <f aca="false">IF(G28="","",G28*0.08+H28*0.1+I28*0.12+J28*0.08+K28*0.1+L28*0.05+M28*0.05+N28*0.1+O28*0.1+P28*0.08+Q28*0.08+R28*0.03+S28*0.03)</f>
        <v/>
      </c>
      <c r="U28" s="46" t="str">
        <f aca="false">IF(T28="","",IF(T28&gt;=8.5,"ELITE",IF(T28&gt;=7,"FORTE",IF(T28&gt;=5.5,"MEDIANA","FRACA"))))</f>
        <v/>
      </c>
    </row>
    <row r="29" customFormat="false" ht="15" hidden="false" customHeight="false" outlineLevel="0" collapsed="false">
      <c r="B29" s="44"/>
      <c r="C29" s="44"/>
      <c r="D29" s="44"/>
      <c r="E29" s="44"/>
      <c r="F29" s="4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45" t="str">
        <f aca="false">IF(G29="","",G29*0.08+H29*0.1+I29*0.12+J29*0.08+K29*0.1+L29*0.05+M29*0.05+N29*0.1+O29*0.1+P29*0.08+Q29*0.08+R29*0.03+S29*0.03)</f>
        <v/>
      </c>
      <c r="U29" s="46" t="str">
        <f aca="false">IF(T29="","",IF(T29&gt;=8.5,"ELITE",IF(T29&gt;=7,"FORTE",IF(T29&gt;=5.5,"MEDIANA","FRACA"))))</f>
        <v/>
      </c>
    </row>
    <row r="30" customFormat="false" ht="15" hidden="false" customHeight="false" outlineLevel="0" collapsed="false">
      <c r="B30" s="44"/>
      <c r="C30" s="44"/>
      <c r="D30" s="44"/>
      <c r="E30" s="44"/>
      <c r="F30" s="4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45" t="str">
        <f aca="false">IF(G30="","",G30*0.08+H30*0.1+I30*0.12+J30*0.08+K30*0.1+L30*0.05+M30*0.05+N30*0.1+O30*0.1+P30*0.08+Q30*0.08+R30*0.03+S30*0.03)</f>
        <v/>
      </c>
      <c r="U30" s="46" t="str">
        <f aca="false">IF(T30="","",IF(T30&gt;=8.5,"ELITE",IF(T30&gt;=7,"FORTE",IF(T30&gt;=5.5,"MEDIANA","FRACA"))))</f>
        <v/>
      </c>
    </row>
    <row r="31" customFormat="false" ht="15" hidden="false" customHeight="false" outlineLevel="0" collapsed="false">
      <c r="B31" s="44"/>
      <c r="C31" s="44"/>
      <c r="D31" s="44"/>
      <c r="E31" s="44"/>
      <c r="F31" s="4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45" t="str">
        <f aca="false">IF(G31="","",G31*0.08+H31*0.1+I31*0.12+J31*0.08+K31*0.1+L31*0.05+M31*0.05+N31*0.1+O31*0.1+P31*0.08+Q31*0.08+R31*0.03+S31*0.03)</f>
        <v/>
      </c>
      <c r="U31" s="46" t="str">
        <f aca="false">IF(T31="","",IF(T31&gt;=8.5,"ELITE",IF(T31&gt;=7,"FORTE",IF(T31&gt;=5.5,"MEDIANA","FRACA"))))</f>
        <v/>
      </c>
    </row>
    <row r="32" customFormat="false" ht="15" hidden="false" customHeight="false" outlineLevel="0" collapsed="false">
      <c r="B32" s="44"/>
      <c r="C32" s="44"/>
      <c r="D32" s="44"/>
      <c r="E32" s="44"/>
      <c r="F32" s="4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45" t="str">
        <f aca="false">IF(G32="","",G32*0.08+H32*0.1+I32*0.12+J32*0.08+K32*0.1+L32*0.05+M32*0.05+N32*0.1+O32*0.1+P32*0.08+Q32*0.08+R32*0.03+S32*0.03)</f>
        <v/>
      </c>
      <c r="U32" s="46" t="str">
        <f aca="false">IF(T32="","",IF(T32&gt;=8.5,"ELITE",IF(T32&gt;=7,"FORTE",IF(T32&gt;=5.5,"MEDIANA","FRACA"))))</f>
        <v/>
      </c>
    </row>
    <row r="33" customFormat="false" ht="15" hidden="false" customHeight="false" outlineLevel="0" collapsed="false">
      <c r="B33" s="44"/>
      <c r="C33" s="44"/>
      <c r="D33" s="44"/>
      <c r="E33" s="44"/>
      <c r="F33" s="4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45" t="str">
        <f aca="false">IF(G33="","",G33*0.08+H33*0.1+I33*0.12+J33*0.08+K33*0.1+L33*0.05+M33*0.05+N33*0.1+O33*0.1+P33*0.08+Q33*0.08+R33*0.03+S33*0.03)</f>
        <v/>
      </c>
      <c r="U33" s="46" t="str">
        <f aca="false">IF(T33="","",IF(T33&gt;=8.5,"ELITE",IF(T33&gt;=7,"FORTE",IF(T33&gt;=5.5,"MEDIANA","FRACA"))))</f>
        <v/>
      </c>
    </row>
    <row r="34" customFormat="false" ht="15" hidden="false" customHeight="false" outlineLevel="0" collapsed="false">
      <c r="B34" s="44"/>
      <c r="C34" s="44"/>
      <c r="D34" s="44"/>
      <c r="E34" s="44"/>
      <c r="F34" s="4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45" t="str">
        <f aca="false">IF(G34="","",G34*0.08+H34*0.1+I34*0.12+J34*0.08+K34*0.1+L34*0.05+M34*0.05+N34*0.1+O34*0.1+P34*0.08+Q34*0.08+R34*0.03+S34*0.03)</f>
        <v/>
      </c>
      <c r="U34" s="46" t="str">
        <f aca="false">IF(T34="","",IF(T34&gt;=8.5,"ELITE",IF(T34&gt;=7,"FORTE",IF(T34&gt;=5.5,"MEDIANA","FRACA"))))</f>
        <v/>
      </c>
    </row>
    <row r="35" customFormat="false" ht="15" hidden="false" customHeight="false" outlineLevel="0" collapsed="false">
      <c r="B35" s="44"/>
      <c r="C35" s="44"/>
      <c r="D35" s="44"/>
      <c r="E35" s="44"/>
      <c r="F35" s="4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45" t="str">
        <f aca="false">IF(G35="","",G35*0.08+H35*0.1+I35*0.12+J35*0.08+K35*0.1+L35*0.05+M35*0.05+N35*0.1+O35*0.1+P35*0.08+Q35*0.08+R35*0.03+S35*0.03)</f>
        <v/>
      </c>
      <c r="U35" s="46" t="str">
        <f aca="false">IF(T35="","",IF(T35&gt;=8.5,"ELITE",IF(T35&gt;=7,"FORTE",IF(T35&gt;=5.5,"MEDIANA","FRACA"))))</f>
        <v/>
      </c>
    </row>
    <row r="36" customFormat="false" ht="15" hidden="false" customHeight="false" outlineLevel="0" collapsed="false">
      <c r="B36" s="44"/>
      <c r="C36" s="44"/>
      <c r="D36" s="44"/>
      <c r="E36" s="44"/>
      <c r="F36" s="4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45" t="str">
        <f aca="false">IF(G36="","",G36*0.08+H36*0.1+I36*0.12+J36*0.08+K36*0.1+L36*0.05+M36*0.05+N36*0.1+O36*0.1+P36*0.08+Q36*0.08+R36*0.03+S36*0.03)</f>
        <v/>
      </c>
      <c r="U36" s="46" t="str">
        <f aca="false">IF(T36="","",IF(T36&gt;=8.5,"ELITE",IF(T36&gt;=7,"FORTE",IF(T36&gt;=5.5,"MEDIANA","FRACA"))))</f>
        <v/>
      </c>
    </row>
    <row r="37" customFormat="false" ht="15" hidden="false" customHeight="false" outlineLevel="0" collapsed="false">
      <c r="B37" s="44"/>
      <c r="C37" s="44"/>
      <c r="D37" s="44"/>
      <c r="E37" s="44"/>
      <c r="F37" s="4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45" t="str">
        <f aca="false">IF(G37="","",G37*0.08+H37*0.1+I37*0.12+J37*0.08+K37*0.1+L37*0.05+M37*0.05+N37*0.1+O37*0.1+P37*0.08+Q37*0.08+R37*0.03+S37*0.03)</f>
        <v/>
      </c>
      <c r="U37" s="46" t="str">
        <f aca="false">IF(T37="","",IF(T37&gt;=8.5,"ELITE",IF(T37&gt;=7,"FORTE",IF(T37&gt;=5.5,"MEDIANA","FRACA"))))</f>
        <v/>
      </c>
    </row>
    <row r="38" customFormat="false" ht="15" hidden="false" customHeight="false" outlineLevel="0" collapsed="false">
      <c r="B38" s="44"/>
      <c r="C38" s="44"/>
      <c r="D38" s="44"/>
      <c r="E38" s="44"/>
      <c r="F38" s="4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45" t="str">
        <f aca="false">IF(G38="","",G38*0.08+H38*0.1+I38*0.12+J38*0.08+K38*0.1+L38*0.05+M38*0.05+N38*0.1+O38*0.1+P38*0.08+Q38*0.08+R38*0.03+S38*0.03)</f>
        <v/>
      </c>
      <c r="U38" s="46" t="str">
        <f aca="false">IF(T38="","",IF(T38&gt;=8.5,"ELITE",IF(T38&gt;=7,"FORTE",IF(T38&gt;=5.5,"MEDIANA","FRACA"))))</f>
        <v/>
      </c>
    </row>
    <row r="39" customFormat="false" ht="15" hidden="false" customHeight="false" outlineLevel="0" collapsed="false">
      <c r="B39" s="44"/>
      <c r="C39" s="44"/>
      <c r="D39" s="44"/>
      <c r="E39" s="44"/>
      <c r="F39" s="4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45" t="str">
        <f aca="false">IF(G39="","",G39*0.08+H39*0.1+I39*0.12+J39*0.08+K39*0.1+L39*0.05+M39*0.05+N39*0.1+O39*0.1+P39*0.08+Q39*0.08+R39*0.03+S39*0.03)</f>
        <v/>
      </c>
      <c r="U39" s="46" t="str">
        <f aca="false">IF(T39="","",IF(T39&gt;=8.5,"ELITE",IF(T39&gt;=7,"FORTE",IF(T39&gt;=5.5,"MEDIANA","FRACA"))))</f>
        <v/>
      </c>
    </row>
    <row r="40" customFormat="false" ht="15" hidden="false" customHeight="false" outlineLevel="0" collapsed="false">
      <c r="B40" s="44"/>
      <c r="C40" s="44"/>
      <c r="D40" s="44"/>
      <c r="E40" s="44"/>
      <c r="F40" s="4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45" t="str">
        <f aca="false">IF(G40="","",G40*0.08+H40*0.1+I40*0.12+J40*0.08+K40*0.1+L40*0.05+M40*0.05+N40*0.1+O40*0.1+P40*0.08+Q40*0.08+R40*0.03+S40*0.03)</f>
        <v/>
      </c>
      <c r="U40" s="46" t="str">
        <f aca="false">IF(T40="","",IF(T40&gt;=8.5,"ELITE",IF(T40&gt;=7,"FORTE",IF(T40&gt;=5.5,"MEDIANA","FRACA"))))</f>
        <v/>
      </c>
    </row>
    <row r="41" customFormat="false" ht="15" hidden="false" customHeight="false" outlineLevel="0" collapsed="false">
      <c r="B41" s="44"/>
      <c r="C41" s="44"/>
      <c r="D41" s="44"/>
      <c r="E41" s="44"/>
      <c r="F41" s="4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45" t="str">
        <f aca="false">IF(G41="","",G41*0.08+H41*0.1+I41*0.12+J41*0.08+K41*0.1+L41*0.05+M41*0.05+N41*0.1+O41*0.1+P41*0.08+Q41*0.08+R41*0.03+S41*0.03)</f>
        <v/>
      </c>
      <c r="U41" s="46" t="str">
        <f aca="false">IF(T41="","",IF(T41&gt;=8.5,"ELITE",IF(T41&gt;=7,"FORTE",IF(T41&gt;=5.5,"MEDIANA","FRACA"))))</f>
        <v/>
      </c>
    </row>
    <row r="42" customFormat="false" ht="15" hidden="false" customHeight="false" outlineLevel="0" collapsed="false">
      <c r="B42" s="44"/>
      <c r="C42" s="44"/>
      <c r="D42" s="44"/>
      <c r="E42" s="44"/>
      <c r="F42" s="4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45" t="str">
        <f aca="false">IF(G42="","",G42*0.08+H42*0.1+I42*0.12+J42*0.08+K42*0.1+L42*0.05+M42*0.05+N42*0.1+O42*0.1+P42*0.08+Q42*0.08+R42*0.03+S42*0.03)</f>
        <v/>
      </c>
      <c r="U42" s="46" t="str">
        <f aca="false">IF(T42="","",IF(T42&gt;=8.5,"ELITE",IF(T42&gt;=7,"FORTE",IF(T42&gt;=5.5,"MEDIANA","FRACA"))))</f>
        <v/>
      </c>
    </row>
    <row r="43" customFormat="false" ht="15" hidden="false" customHeight="false" outlineLevel="0" collapsed="false">
      <c r="B43" s="44"/>
      <c r="C43" s="44"/>
      <c r="D43" s="44"/>
      <c r="E43" s="44"/>
      <c r="F43" s="4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45" t="str">
        <f aca="false">IF(G43="","",G43*0.08+H43*0.1+I43*0.12+J43*0.08+K43*0.1+L43*0.05+M43*0.05+N43*0.1+O43*0.1+P43*0.08+Q43*0.08+R43*0.03+S43*0.03)</f>
        <v/>
      </c>
      <c r="U43" s="46" t="str">
        <f aca="false">IF(T43="","",IF(T43&gt;=8.5,"ELITE",IF(T43&gt;=7,"FORTE",IF(T43&gt;=5.5,"MEDIANA","FRACA"))))</f>
        <v/>
      </c>
    </row>
    <row r="44" customFormat="false" ht="15" hidden="false" customHeight="false" outlineLevel="0" collapsed="false">
      <c r="B44" s="44"/>
      <c r="C44" s="44"/>
      <c r="D44" s="44"/>
      <c r="E44" s="44"/>
      <c r="F44" s="4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45" t="str">
        <f aca="false">IF(G44="","",G44*0.08+H44*0.1+I44*0.12+J44*0.08+K44*0.1+L44*0.05+M44*0.05+N44*0.1+O44*0.1+P44*0.08+Q44*0.08+R44*0.03+S44*0.03)</f>
        <v/>
      </c>
      <c r="U44" s="46" t="str">
        <f aca="false">IF(T44="","",IF(T44&gt;=8.5,"ELITE",IF(T44&gt;=7,"FORTE",IF(T44&gt;=5.5,"MEDIANA","FRACA"))))</f>
        <v/>
      </c>
    </row>
    <row r="45" customFormat="false" ht="15" hidden="false" customHeight="false" outlineLevel="0" collapsed="false">
      <c r="B45" s="44"/>
      <c r="C45" s="44"/>
      <c r="D45" s="44"/>
      <c r="E45" s="44"/>
      <c r="F45" s="4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45" t="str">
        <f aca="false">IF(G45="","",G45*0.08+H45*0.1+I45*0.12+J45*0.08+K45*0.1+L45*0.05+M45*0.05+N45*0.1+O45*0.1+P45*0.08+Q45*0.08+R45*0.03+S45*0.03)</f>
        <v/>
      </c>
      <c r="U45" s="46" t="str">
        <f aca="false">IF(T45="","",IF(T45&gt;=8.5,"ELITE",IF(T45&gt;=7,"FORTE",IF(T45&gt;=5.5,"MEDIANA","FRACA"))))</f>
        <v/>
      </c>
    </row>
    <row r="46" customFormat="false" ht="15" hidden="false" customHeight="false" outlineLevel="0" collapsed="false">
      <c r="B46" s="44"/>
      <c r="C46" s="44"/>
      <c r="D46" s="44"/>
      <c r="E46" s="44"/>
      <c r="F46" s="44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45" t="str">
        <f aca="false">IF(G46="","",G46*0.08+H46*0.1+I46*0.12+J46*0.08+K46*0.1+L46*0.05+M46*0.05+N46*0.1+O46*0.1+P46*0.08+Q46*0.08+R46*0.03+S46*0.03)</f>
        <v/>
      </c>
      <c r="U46" s="46" t="str">
        <f aca="false">IF(T46="","",IF(T46&gt;=8.5,"ELITE",IF(T46&gt;=7,"FORTE",IF(T46&gt;=5.5,"MEDIANA","FRACA"))))</f>
        <v/>
      </c>
    </row>
    <row r="47" customFormat="false" ht="15" hidden="false" customHeight="false" outlineLevel="0" collapsed="false">
      <c r="B47" s="44"/>
      <c r="C47" s="44"/>
      <c r="D47" s="44"/>
      <c r="E47" s="44"/>
      <c r="F47" s="4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45" t="str">
        <f aca="false">IF(G47="","",G47*0.08+H47*0.1+I47*0.12+J47*0.08+K47*0.1+L47*0.05+M47*0.05+N47*0.1+O47*0.1+P47*0.08+Q47*0.08+R47*0.03+S47*0.03)</f>
        <v/>
      </c>
      <c r="U47" s="46" t="str">
        <f aca="false">IF(T47="","",IF(T47&gt;=8.5,"ELITE",IF(T47&gt;=7,"FORTE",IF(T47&gt;=5.5,"MEDIANA","FRACA"))))</f>
        <v/>
      </c>
    </row>
    <row r="48" customFormat="false" ht="15" hidden="false" customHeight="false" outlineLevel="0" collapsed="false">
      <c r="B48" s="44"/>
      <c r="C48" s="44"/>
      <c r="D48" s="44"/>
      <c r="E48" s="44"/>
      <c r="F48" s="4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45" t="str">
        <f aca="false">IF(G48="","",G48*0.08+H48*0.1+I48*0.12+J48*0.08+K48*0.1+L48*0.05+M48*0.05+N48*0.1+O48*0.1+P48*0.08+Q48*0.08+R48*0.03+S48*0.03)</f>
        <v/>
      </c>
      <c r="U48" s="46" t="str">
        <f aca="false">IF(T48="","",IF(T48&gt;=8.5,"ELITE",IF(T48&gt;=7,"FORTE",IF(T48&gt;=5.5,"MEDIANA","FRACA"))))</f>
        <v/>
      </c>
    </row>
    <row r="49" customFormat="false" ht="15" hidden="false" customHeight="false" outlineLevel="0" collapsed="false">
      <c r="B49" s="44"/>
      <c r="C49" s="44"/>
      <c r="D49" s="44"/>
      <c r="E49" s="44"/>
      <c r="F49" s="4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45" t="str">
        <f aca="false">IF(G49="","",G49*0.08+H49*0.1+I49*0.12+J49*0.08+K49*0.1+L49*0.05+M49*0.05+N49*0.1+O49*0.1+P49*0.08+Q49*0.08+R49*0.03+S49*0.03)</f>
        <v/>
      </c>
      <c r="U49" s="46" t="str">
        <f aca="false">IF(T49="","",IF(T49&gt;=8.5,"ELITE",IF(T49&gt;=7,"FORTE",IF(T49&gt;=5.5,"MEDIANA","FRACA"))))</f>
        <v/>
      </c>
    </row>
    <row r="50" customFormat="false" ht="15" hidden="false" customHeight="false" outlineLevel="0" collapsed="false">
      <c r="B50" s="44"/>
      <c r="C50" s="44"/>
      <c r="D50" s="44"/>
      <c r="E50" s="44"/>
      <c r="F50" s="4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45" t="str">
        <f aca="false">IF(G50="","",G50*0.08+H50*0.1+I50*0.12+J50*0.08+K50*0.1+L50*0.05+M50*0.05+N50*0.1+O50*0.1+P50*0.08+Q50*0.08+R50*0.03+S50*0.03)</f>
        <v/>
      </c>
      <c r="U50" s="46" t="str">
        <f aca="false">IF(T50="","",IF(T50&gt;=8.5,"ELITE",IF(T50&gt;=7,"FORTE",IF(T50&gt;=5.5,"MEDIANA","FRACA"))))</f>
        <v/>
      </c>
    </row>
    <row r="51" customFormat="false" ht="15" hidden="false" customHeight="false" outlineLevel="0" collapsed="false">
      <c r="B51" s="44"/>
      <c r="C51" s="44"/>
      <c r="D51" s="44"/>
      <c r="E51" s="44"/>
      <c r="F51" s="4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45" t="str">
        <f aca="false">IF(G51="","",G51*0.08+H51*0.1+I51*0.12+J51*0.08+K51*0.1+L51*0.05+M51*0.05+N51*0.1+O51*0.1+P51*0.08+Q51*0.08+R51*0.03+S51*0.03)</f>
        <v/>
      </c>
      <c r="U51" s="46" t="str">
        <f aca="false">IF(T51="","",IF(T51&gt;=8.5,"ELITE",IF(T51&gt;=7,"FORTE",IF(T51&gt;=5.5,"MEDIANA","FRACA"))))</f>
        <v/>
      </c>
    </row>
    <row r="52" customFormat="false" ht="15" hidden="false" customHeight="false" outlineLevel="0" collapsed="false">
      <c r="B52" s="44"/>
      <c r="C52" s="44"/>
      <c r="D52" s="44"/>
      <c r="E52" s="44"/>
      <c r="F52" s="4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45" t="str">
        <f aca="false">IF(G52="","",G52*0.08+H52*0.1+I52*0.12+J52*0.08+K52*0.1+L52*0.05+M52*0.05+N52*0.1+O52*0.1+P52*0.08+Q52*0.08+R52*0.03+S52*0.03)</f>
        <v/>
      </c>
      <c r="U52" s="46" t="str">
        <f aca="false">IF(T52="","",IF(T52&gt;=8.5,"ELITE",IF(T52&gt;=7,"FORTE",IF(T52&gt;=5.5,"MEDIANA","FRACA"))))</f>
        <v/>
      </c>
    </row>
    <row r="53" customFormat="false" ht="15" hidden="false" customHeight="false" outlineLevel="0" collapsed="false">
      <c r="B53" s="44"/>
      <c r="C53" s="44"/>
      <c r="D53" s="44"/>
      <c r="E53" s="44"/>
      <c r="F53" s="4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45" t="str">
        <f aca="false">IF(G53="","",G53*0.08+H53*0.1+I53*0.12+J53*0.08+K53*0.1+L53*0.05+M53*0.05+N53*0.1+O53*0.1+P53*0.08+Q53*0.08+R53*0.03+S53*0.03)</f>
        <v/>
      </c>
      <c r="U53" s="46" t="str">
        <f aca="false">IF(T53="","",IF(T53&gt;=8.5,"ELITE",IF(T53&gt;=7,"FORTE",IF(T53&gt;=5.5,"MEDIANA","FRACA"))))</f>
        <v/>
      </c>
    </row>
    <row r="54" customFormat="false" ht="15" hidden="false" customHeight="false" outlineLevel="0" collapsed="false">
      <c r="B54" s="44"/>
      <c r="C54" s="44"/>
      <c r="D54" s="44"/>
      <c r="E54" s="44"/>
      <c r="F54" s="4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5" t="str">
        <f aca="false">IF(G54="","",G54*0.08+H54*0.1+I54*0.12+J54*0.08+K54*0.1+L54*0.05+M54*0.05+N54*0.1+O54*0.1+P54*0.08+Q54*0.08+R54*0.03+S54*0.03)</f>
        <v/>
      </c>
      <c r="U54" s="46" t="str">
        <f aca="false">IF(T54="","",IF(T54&gt;=8.5,"ELITE",IF(T54&gt;=7,"FORTE",IF(T54&gt;=5.5,"MEDIANA","FRACA"))))</f>
        <v/>
      </c>
    </row>
    <row r="55" customFormat="false" ht="15" hidden="false" customHeight="false" outlineLevel="0" collapsed="false">
      <c r="B55" s="44"/>
      <c r="C55" s="44"/>
      <c r="D55" s="44"/>
      <c r="E55" s="44"/>
      <c r="F55" s="4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45" t="str">
        <f aca="false">IF(G55="","",G55*0.08+H55*0.1+I55*0.12+J55*0.08+K55*0.1+L55*0.05+M55*0.05+N55*0.1+O55*0.1+P55*0.08+Q55*0.08+R55*0.03+S55*0.03)</f>
        <v/>
      </c>
      <c r="U55" s="46" t="str">
        <f aca="false">IF(T55="","",IF(T55&gt;=8.5,"ELITE",IF(T55&gt;=7,"FORTE",IF(T55&gt;=5.5,"MEDIANA","FRACA"))))</f>
        <v/>
      </c>
    </row>
  </sheetData>
  <mergeCells count="2">
    <mergeCell ref="B2:U2"/>
    <mergeCell ref="B3:U3"/>
  </mergeCells>
  <conditionalFormatting sqref="T6">
    <cfRule type="cellIs" priority="2" operator="greaterThanOrEqual" aboveAverage="0" equalAverage="0" bottom="0" percent="0" rank="0" text="" dxfId="4">
      <formula>8.5</formula>
    </cfRule>
    <cfRule type="cellIs" priority="3" operator="between" aboveAverage="0" equalAverage="0" bottom="0" percent="0" rank="0" text="" dxfId="5">
      <formula>7</formula>
      <formula>8.4</formula>
    </cfRule>
    <cfRule type="cellIs" priority="4" operator="between" aboveAverage="0" equalAverage="0" bottom="0" percent="0" rank="0" text="" dxfId="6">
      <formula>5.5</formula>
      <formula>6.9</formula>
    </cfRule>
    <cfRule type="cellIs" priority="5" operator="lessThan" aboveAverage="0" equalAverage="0" bottom="0" percent="0" rank="0" text="" dxfId="7">
      <formula>5.5</formula>
    </cfRule>
  </conditionalFormatting>
  <conditionalFormatting sqref="T7">
    <cfRule type="cellIs" priority="6" operator="greaterThanOrEqual" aboveAverage="0" equalAverage="0" bottom="0" percent="0" rank="0" text="" dxfId="4">
      <formula>8.5</formula>
    </cfRule>
    <cfRule type="cellIs" priority="7" operator="between" aboveAverage="0" equalAverage="0" bottom="0" percent="0" rank="0" text="" dxfId="5">
      <formula>7</formula>
      <formula>8.4</formula>
    </cfRule>
    <cfRule type="cellIs" priority="8" operator="between" aboveAverage="0" equalAverage="0" bottom="0" percent="0" rank="0" text="" dxfId="6">
      <formula>5.5</formula>
      <formula>6.9</formula>
    </cfRule>
    <cfRule type="cellIs" priority="9" operator="lessThan" aboveAverage="0" equalAverage="0" bottom="0" percent="0" rank="0" text="" dxfId="7">
      <formula>5.5</formula>
    </cfRule>
  </conditionalFormatting>
  <conditionalFormatting sqref="T8">
    <cfRule type="cellIs" priority="10" operator="greaterThanOrEqual" aboveAverage="0" equalAverage="0" bottom="0" percent="0" rank="0" text="" dxfId="4">
      <formula>8.5</formula>
    </cfRule>
    <cfRule type="cellIs" priority="11" operator="between" aboveAverage="0" equalAverage="0" bottom="0" percent="0" rank="0" text="" dxfId="5">
      <formula>7</formula>
      <formula>8.4</formula>
    </cfRule>
    <cfRule type="cellIs" priority="12" operator="between" aboveAverage="0" equalAverage="0" bottom="0" percent="0" rank="0" text="" dxfId="6">
      <formula>5.5</formula>
      <formula>6.9</formula>
    </cfRule>
    <cfRule type="cellIs" priority="13" operator="lessThan" aboveAverage="0" equalAverage="0" bottom="0" percent="0" rank="0" text="" dxfId="7">
      <formula>5.5</formula>
    </cfRule>
  </conditionalFormatting>
  <conditionalFormatting sqref="T9">
    <cfRule type="cellIs" priority="14" operator="greaterThanOrEqual" aboveAverage="0" equalAverage="0" bottom="0" percent="0" rank="0" text="" dxfId="4">
      <formula>8.5</formula>
    </cfRule>
    <cfRule type="cellIs" priority="15" operator="between" aboveAverage="0" equalAverage="0" bottom="0" percent="0" rank="0" text="" dxfId="5">
      <formula>7</formula>
      <formula>8.4</formula>
    </cfRule>
    <cfRule type="cellIs" priority="16" operator="between" aboveAverage="0" equalAverage="0" bottom="0" percent="0" rank="0" text="" dxfId="6">
      <formula>5.5</formula>
      <formula>6.9</formula>
    </cfRule>
    <cfRule type="cellIs" priority="17" operator="lessThan" aboveAverage="0" equalAverage="0" bottom="0" percent="0" rank="0" text="" dxfId="7">
      <formula>5.5</formula>
    </cfRule>
  </conditionalFormatting>
  <conditionalFormatting sqref="T10">
    <cfRule type="cellIs" priority="18" operator="greaterThanOrEqual" aboveAverage="0" equalAverage="0" bottom="0" percent="0" rank="0" text="" dxfId="4">
      <formula>8.5</formula>
    </cfRule>
    <cfRule type="cellIs" priority="19" operator="between" aboveAverage="0" equalAverage="0" bottom="0" percent="0" rank="0" text="" dxfId="5">
      <formula>7</formula>
      <formula>8.4</formula>
    </cfRule>
    <cfRule type="cellIs" priority="20" operator="between" aboveAverage="0" equalAverage="0" bottom="0" percent="0" rank="0" text="" dxfId="6">
      <formula>5.5</formula>
      <formula>6.9</formula>
    </cfRule>
    <cfRule type="cellIs" priority="21" operator="lessThan" aboveAverage="0" equalAverage="0" bottom="0" percent="0" rank="0" text="" dxfId="7">
      <formula>5.5</formula>
    </cfRule>
  </conditionalFormatting>
  <conditionalFormatting sqref="T11">
    <cfRule type="cellIs" priority="22" operator="greaterThanOrEqual" aboveAverage="0" equalAverage="0" bottom="0" percent="0" rank="0" text="" dxfId="4">
      <formula>8.5</formula>
    </cfRule>
    <cfRule type="cellIs" priority="23" operator="between" aboveAverage="0" equalAverage="0" bottom="0" percent="0" rank="0" text="" dxfId="5">
      <formula>7</formula>
      <formula>8.4</formula>
    </cfRule>
    <cfRule type="cellIs" priority="24" operator="between" aboveAverage="0" equalAverage="0" bottom="0" percent="0" rank="0" text="" dxfId="6">
      <formula>5.5</formula>
      <formula>6.9</formula>
    </cfRule>
    <cfRule type="cellIs" priority="25" operator="lessThan" aboveAverage="0" equalAverage="0" bottom="0" percent="0" rank="0" text="" dxfId="7">
      <formula>5.5</formula>
    </cfRule>
  </conditionalFormatting>
  <conditionalFormatting sqref="T12">
    <cfRule type="cellIs" priority="26" operator="greaterThanOrEqual" aboveAverage="0" equalAverage="0" bottom="0" percent="0" rank="0" text="" dxfId="4">
      <formula>8.5</formula>
    </cfRule>
    <cfRule type="cellIs" priority="27" operator="between" aboveAverage="0" equalAverage="0" bottom="0" percent="0" rank="0" text="" dxfId="5">
      <formula>7</formula>
      <formula>8.4</formula>
    </cfRule>
    <cfRule type="cellIs" priority="28" operator="between" aboveAverage="0" equalAverage="0" bottom="0" percent="0" rank="0" text="" dxfId="6">
      <formula>5.5</formula>
      <formula>6.9</formula>
    </cfRule>
    <cfRule type="cellIs" priority="29" operator="lessThan" aboveAverage="0" equalAverage="0" bottom="0" percent="0" rank="0" text="" dxfId="7">
      <formula>5.5</formula>
    </cfRule>
  </conditionalFormatting>
  <conditionalFormatting sqref="T13">
    <cfRule type="cellIs" priority="30" operator="greaterThanOrEqual" aboveAverage="0" equalAverage="0" bottom="0" percent="0" rank="0" text="" dxfId="4">
      <formula>8.5</formula>
    </cfRule>
    <cfRule type="cellIs" priority="31" operator="between" aboveAverage="0" equalAverage="0" bottom="0" percent="0" rank="0" text="" dxfId="5">
      <formula>7</formula>
      <formula>8.4</formula>
    </cfRule>
    <cfRule type="cellIs" priority="32" operator="between" aboveAverage="0" equalAverage="0" bottom="0" percent="0" rank="0" text="" dxfId="6">
      <formula>5.5</formula>
      <formula>6.9</formula>
    </cfRule>
    <cfRule type="cellIs" priority="33" operator="lessThan" aboveAverage="0" equalAverage="0" bottom="0" percent="0" rank="0" text="" dxfId="7">
      <formula>5.5</formula>
    </cfRule>
  </conditionalFormatting>
  <conditionalFormatting sqref="T14">
    <cfRule type="cellIs" priority="34" operator="greaterThanOrEqual" aboveAverage="0" equalAverage="0" bottom="0" percent="0" rank="0" text="" dxfId="4">
      <formula>8.5</formula>
    </cfRule>
    <cfRule type="cellIs" priority="35" operator="between" aboveAverage="0" equalAverage="0" bottom="0" percent="0" rank="0" text="" dxfId="5">
      <formula>7</formula>
      <formula>8.4</formula>
    </cfRule>
    <cfRule type="cellIs" priority="36" operator="between" aboveAverage="0" equalAverage="0" bottom="0" percent="0" rank="0" text="" dxfId="6">
      <formula>5.5</formula>
      <formula>6.9</formula>
    </cfRule>
    <cfRule type="cellIs" priority="37" operator="lessThan" aboveAverage="0" equalAverage="0" bottom="0" percent="0" rank="0" text="" dxfId="7">
      <formula>5.5</formula>
    </cfRule>
  </conditionalFormatting>
  <conditionalFormatting sqref="T15">
    <cfRule type="cellIs" priority="38" operator="greaterThanOrEqual" aboveAverage="0" equalAverage="0" bottom="0" percent="0" rank="0" text="" dxfId="4">
      <formula>8.5</formula>
    </cfRule>
    <cfRule type="cellIs" priority="39" operator="between" aboveAverage="0" equalAverage="0" bottom="0" percent="0" rank="0" text="" dxfId="5">
      <formula>7</formula>
      <formula>8.4</formula>
    </cfRule>
    <cfRule type="cellIs" priority="40" operator="between" aboveAverage="0" equalAverage="0" bottom="0" percent="0" rank="0" text="" dxfId="6">
      <formula>5.5</formula>
      <formula>6.9</formula>
    </cfRule>
    <cfRule type="cellIs" priority="41" operator="lessThan" aboveAverage="0" equalAverage="0" bottom="0" percent="0" rank="0" text="" dxfId="7">
      <formula>5.5</formula>
    </cfRule>
  </conditionalFormatting>
  <conditionalFormatting sqref="T16">
    <cfRule type="cellIs" priority="42" operator="greaterThanOrEqual" aboveAverage="0" equalAverage="0" bottom="0" percent="0" rank="0" text="" dxfId="4">
      <formula>8.5</formula>
    </cfRule>
    <cfRule type="cellIs" priority="43" operator="between" aboveAverage="0" equalAverage="0" bottom="0" percent="0" rank="0" text="" dxfId="5">
      <formula>7</formula>
      <formula>8.4</formula>
    </cfRule>
    <cfRule type="cellIs" priority="44" operator="between" aboveAverage="0" equalAverage="0" bottom="0" percent="0" rank="0" text="" dxfId="6">
      <formula>5.5</formula>
      <formula>6.9</formula>
    </cfRule>
    <cfRule type="cellIs" priority="45" operator="lessThan" aboveAverage="0" equalAverage="0" bottom="0" percent="0" rank="0" text="" dxfId="7">
      <formula>5.5</formula>
    </cfRule>
  </conditionalFormatting>
  <conditionalFormatting sqref="T17">
    <cfRule type="cellIs" priority="46" operator="greaterThanOrEqual" aboveAverage="0" equalAverage="0" bottom="0" percent="0" rank="0" text="" dxfId="4">
      <formula>8.5</formula>
    </cfRule>
    <cfRule type="cellIs" priority="47" operator="between" aboveAverage="0" equalAverage="0" bottom="0" percent="0" rank="0" text="" dxfId="5">
      <formula>7</formula>
      <formula>8.4</formula>
    </cfRule>
    <cfRule type="cellIs" priority="48" operator="between" aboveAverage="0" equalAverage="0" bottom="0" percent="0" rank="0" text="" dxfId="6">
      <formula>5.5</formula>
      <formula>6.9</formula>
    </cfRule>
    <cfRule type="cellIs" priority="49" operator="lessThan" aboveAverage="0" equalAverage="0" bottom="0" percent="0" rank="0" text="" dxfId="7">
      <formula>5.5</formula>
    </cfRule>
  </conditionalFormatting>
  <conditionalFormatting sqref="T18">
    <cfRule type="cellIs" priority="50" operator="greaterThanOrEqual" aboveAverage="0" equalAverage="0" bottom="0" percent="0" rank="0" text="" dxfId="4">
      <formula>8.5</formula>
    </cfRule>
    <cfRule type="cellIs" priority="51" operator="between" aboveAverage="0" equalAverage="0" bottom="0" percent="0" rank="0" text="" dxfId="5">
      <formula>7</formula>
      <formula>8.4</formula>
    </cfRule>
    <cfRule type="cellIs" priority="52" operator="between" aboveAverage="0" equalAverage="0" bottom="0" percent="0" rank="0" text="" dxfId="6">
      <formula>5.5</formula>
      <formula>6.9</formula>
    </cfRule>
    <cfRule type="cellIs" priority="53" operator="lessThan" aboveAverage="0" equalAverage="0" bottom="0" percent="0" rank="0" text="" dxfId="7">
      <formula>5.5</formula>
    </cfRule>
  </conditionalFormatting>
  <conditionalFormatting sqref="T19">
    <cfRule type="cellIs" priority="54" operator="greaterThanOrEqual" aboveAverage="0" equalAverage="0" bottom="0" percent="0" rank="0" text="" dxfId="4">
      <formula>8.5</formula>
    </cfRule>
    <cfRule type="cellIs" priority="55" operator="between" aboveAverage="0" equalAverage="0" bottom="0" percent="0" rank="0" text="" dxfId="5">
      <formula>7</formula>
      <formula>8.4</formula>
    </cfRule>
    <cfRule type="cellIs" priority="56" operator="between" aboveAverage="0" equalAverage="0" bottom="0" percent="0" rank="0" text="" dxfId="6">
      <formula>5.5</formula>
      <formula>6.9</formula>
    </cfRule>
    <cfRule type="cellIs" priority="57" operator="lessThan" aboveAverage="0" equalAverage="0" bottom="0" percent="0" rank="0" text="" dxfId="7">
      <formula>5.5</formula>
    </cfRule>
  </conditionalFormatting>
  <conditionalFormatting sqref="T20">
    <cfRule type="cellIs" priority="58" operator="greaterThanOrEqual" aboveAverage="0" equalAverage="0" bottom="0" percent="0" rank="0" text="" dxfId="4">
      <formula>8.5</formula>
    </cfRule>
    <cfRule type="cellIs" priority="59" operator="between" aboveAverage="0" equalAverage="0" bottom="0" percent="0" rank="0" text="" dxfId="5">
      <formula>7</formula>
      <formula>8.4</formula>
    </cfRule>
    <cfRule type="cellIs" priority="60" operator="between" aboveAverage="0" equalAverage="0" bottom="0" percent="0" rank="0" text="" dxfId="6">
      <formula>5.5</formula>
      <formula>6.9</formula>
    </cfRule>
    <cfRule type="cellIs" priority="61" operator="lessThan" aboveAverage="0" equalAverage="0" bottom="0" percent="0" rank="0" text="" dxfId="7">
      <formula>5.5</formula>
    </cfRule>
  </conditionalFormatting>
  <conditionalFormatting sqref="T21">
    <cfRule type="cellIs" priority="62" operator="greaterThanOrEqual" aboveAverage="0" equalAverage="0" bottom="0" percent="0" rank="0" text="" dxfId="4">
      <formula>8.5</formula>
    </cfRule>
    <cfRule type="cellIs" priority="63" operator="between" aboveAverage="0" equalAverage="0" bottom="0" percent="0" rank="0" text="" dxfId="5">
      <formula>7</formula>
      <formula>8.4</formula>
    </cfRule>
    <cfRule type="cellIs" priority="64" operator="between" aboveAverage="0" equalAverage="0" bottom="0" percent="0" rank="0" text="" dxfId="6">
      <formula>5.5</formula>
      <formula>6.9</formula>
    </cfRule>
    <cfRule type="cellIs" priority="65" operator="lessThan" aboveAverage="0" equalAverage="0" bottom="0" percent="0" rank="0" text="" dxfId="7">
      <formula>5.5</formula>
    </cfRule>
  </conditionalFormatting>
  <conditionalFormatting sqref="T22">
    <cfRule type="cellIs" priority="66" operator="greaterThanOrEqual" aboveAverage="0" equalAverage="0" bottom="0" percent="0" rank="0" text="" dxfId="4">
      <formula>8.5</formula>
    </cfRule>
    <cfRule type="cellIs" priority="67" operator="between" aboveAverage="0" equalAverage="0" bottom="0" percent="0" rank="0" text="" dxfId="5">
      <formula>7</formula>
      <formula>8.4</formula>
    </cfRule>
    <cfRule type="cellIs" priority="68" operator="between" aboveAverage="0" equalAverage="0" bottom="0" percent="0" rank="0" text="" dxfId="6">
      <formula>5.5</formula>
      <formula>6.9</formula>
    </cfRule>
    <cfRule type="cellIs" priority="69" operator="lessThan" aboveAverage="0" equalAverage="0" bottom="0" percent="0" rank="0" text="" dxfId="7">
      <formula>5.5</formula>
    </cfRule>
  </conditionalFormatting>
  <conditionalFormatting sqref="T23">
    <cfRule type="cellIs" priority="70" operator="greaterThanOrEqual" aboveAverage="0" equalAverage="0" bottom="0" percent="0" rank="0" text="" dxfId="4">
      <formula>8.5</formula>
    </cfRule>
    <cfRule type="cellIs" priority="71" operator="between" aboveAverage="0" equalAverage="0" bottom="0" percent="0" rank="0" text="" dxfId="5">
      <formula>7</formula>
      <formula>8.4</formula>
    </cfRule>
    <cfRule type="cellIs" priority="72" operator="between" aboveAverage="0" equalAverage="0" bottom="0" percent="0" rank="0" text="" dxfId="6">
      <formula>5.5</formula>
      <formula>6.9</formula>
    </cfRule>
    <cfRule type="cellIs" priority="73" operator="lessThan" aboveAverage="0" equalAverage="0" bottom="0" percent="0" rank="0" text="" dxfId="7">
      <formula>5.5</formula>
    </cfRule>
  </conditionalFormatting>
  <conditionalFormatting sqref="T24">
    <cfRule type="cellIs" priority="74" operator="greaterThanOrEqual" aboveAverage="0" equalAverage="0" bottom="0" percent="0" rank="0" text="" dxfId="4">
      <formula>8.5</formula>
    </cfRule>
    <cfRule type="cellIs" priority="75" operator="between" aboveAverage="0" equalAverage="0" bottom="0" percent="0" rank="0" text="" dxfId="5">
      <formula>7</formula>
      <formula>8.4</formula>
    </cfRule>
    <cfRule type="cellIs" priority="76" operator="between" aboveAverage="0" equalAverage="0" bottom="0" percent="0" rank="0" text="" dxfId="6">
      <formula>5.5</formula>
      <formula>6.9</formula>
    </cfRule>
    <cfRule type="cellIs" priority="77" operator="lessThan" aboveAverage="0" equalAverage="0" bottom="0" percent="0" rank="0" text="" dxfId="7">
      <formula>5.5</formula>
    </cfRule>
  </conditionalFormatting>
  <conditionalFormatting sqref="T25">
    <cfRule type="cellIs" priority="78" operator="greaterThanOrEqual" aboveAverage="0" equalAverage="0" bottom="0" percent="0" rank="0" text="" dxfId="4">
      <formula>8.5</formula>
    </cfRule>
    <cfRule type="cellIs" priority="79" operator="between" aboveAverage="0" equalAverage="0" bottom="0" percent="0" rank="0" text="" dxfId="5">
      <formula>7</formula>
      <formula>8.4</formula>
    </cfRule>
    <cfRule type="cellIs" priority="80" operator="between" aboveAverage="0" equalAverage="0" bottom="0" percent="0" rank="0" text="" dxfId="6">
      <formula>5.5</formula>
      <formula>6.9</formula>
    </cfRule>
    <cfRule type="cellIs" priority="81" operator="lessThan" aboveAverage="0" equalAverage="0" bottom="0" percent="0" rank="0" text="" dxfId="7">
      <formula>5.5</formula>
    </cfRule>
  </conditionalFormatting>
  <conditionalFormatting sqref="T26">
    <cfRule type="cellIs" priority="82" operator="greaterThanOrEqual" aboveAverage="0" equalAverage="0" bottom="0" percent="0" rank="0" text="" dxfId="4">
      <formula>8.5</formula>
    </cfRule>
    <cfRule type="cellIs" priority="83" operator="between" aboveAverage="0" equalAverage="0" bottom="0" percent="0" rank="0" text="" dxfId="5">
      <formula>7</formula>
      <formula>8.4</formula>
    </cfRule>
    <cfRule type="cellIs" priority="84" operator="between" aboveAverage="0" equalAverage="0" bottom="0" percent="0" rank="0" text="" dxfId="6">
      <formula>5.5</formula>
      <formula>6.9</formula>
    </cfRule>
    <cfRule type="cellIs" priority="85" operator="lessThan" aboveAverage="0" equalAverage="0" bottom="0" percent="0" rank="0" text="" dxfId="7">
      <formula>5.5</formula>
    </cfRule>
  </conditionalFormatting>
  <conditionalFormatting sqref="T27">
    <cfRule type="cellIs" priority="86" operator="greaterThanOrEqual" aboveAverage="0" equalAverage="0" bottom="0" percent="0" rank="0" text="" dxfId="4">
      <formula>8.5</formula>
    </cfRule>
    <cfRule type="cellIs" priority="87" operator="between" aboveAverage="0" equalAverage="0" bottom="0" percent="0" rank="0" text="" dxfId="5">
      <formula>7</formula>
      <formula>8.4</formula>
    </cfRule>
    <cfRule type="cellIs" priority="88" operator="between" aboveAverage="0" equalAverage="0" bottom="0" percent="0" rank="0" text="" dxfId="6">
      <formula>5.5</formula>
      <formula>6.9</formula>
    </cfRule>
    <cfRule type="cellIs" priority="89" operator="lessThan" aboveAverage="0" equalAverage="0" bottom="0" percent="0" rank="0" text="" dxfId="7">
      <formula>5.5</formula>
    </cfRule>
  </conditionalFormatting>
  <conditionalFormatting sqref="T28">
    <cfRule type="cellIs" priority="90" operator="greaterThanOrEqual" aboveAverage="0" equalAverage="0" bottom="0" percent="0" rank="0" text="" dxfId="4">
      <formula>8.5</formula>
    </cfRule>
    <cfRule type="cellIs" priority="91" operator="between" aboveAverage="0" equalAverage="0" bottom="0" percent="0" rank="0" text="" dxfId="5">
      <formula>7</formula>
      <formula>8.4</formula>
    </cfRule>
    <cfRule type="cellIs" priority="92" operator="between" aboveAverage="0" equalAverage="0" bottom="0" percent="0" rank="0" text="" dxfId="6">
      <formula>5.5</formula>
      <formula>6.9</formula>
    </cfRule>
    <cfRule type="cellIs" priority="93" operator="lessThan" aboveAverage="0" equalAverage="0" bottom="0" percent="0" rank="0" text="" dxfId="7">
      <formula>5.5</formula>
    </cfRule>
  </conditionalFormatting>
  <conditionalFormatting sqref="T29">
    <cfRule type="cellIs" priority="94" operator="greaterThanOrEqual" aboveAverage="0" equalAverage="0" bottom="0" percent="0" rank="0" text="" dxfId="4">
      <formula>8.5</formula>
    </cfRule>
    <cfRule type="cellIs" priority="95" operator="between" aboveAverage="0" equalAverage="0" bottom="0" percent="0" rank="0" text="" dxfId="5">
      <formula>7</formula>
      <formula>8.4</formula>
    </cfRule>
    <cfRule type="cellIs" priority="96" operator="between" aboveAverage="0" equalAverage="0" bottom="0" percent="0" rank="0" text="" dxfId="6">
      <formula>5.5</formula>
      <formula>6.9</formula>
    </cfRule>
    <cfRule type="cellIs" priority="97" operator="lessThan" aboveAverage="0" equalAverage="0" bottom="0" percent="0" rank="0" text="" dxfId="7">
      <formula>5.5</formula>
    </cfRule>
  </conditionalFormatting>
  <conditionalFormatting sqref="T30">
    <cfRule type="cellIs" priority="98" operator="greaterThanOrEqual" aboveAverage="0" equalAverage="0" bottom="0" percent="0" rank="0" text="" dxfId="4">
      <formula>8.5</formula>
    </cfRule>
    <cfRule type="cellIs" priority="99" operator="between" aboveAverage="0" equalAverage="0" bottom="0" percent="0" rank="0" text="" dxfId="5">
      <formula>7</formula>
      <formula>8.4</formula>
    </cfRule>
    <cfRule type="cellIs" priority="100" operator="between" aboveAverage="0" equalAverage="0" bottom="0" percent="0" rank="0" text="" dxfId="6">
      <formula>5.5</formula>
      <formula>6.9</formula>
    </cfRule>
    <cfRule type="cellIs" priority="101" operator="lessThan" aboveAverage="0" equalAverage="0" bottom="0" percent="0" rank="0" text="" dxfId="7">
      <formula>5.5</formula>
    </cfRule>
  </conditionalFormatting>
  <conditionalFormatting sqref="T31">
    <cfRule type="cellIs" priority="102" operator="greaterThanOrEqual" aboveAverage="0" equalAverage="0" bottom="0" percent="0" rank="0" text="" dxfId="4">
      <formula>8.5</formula>
    </cfRule>
    <cfRule type="cellIs" priority="103" operator="between" aboveAverage="0" equalAverage="0" bottom="0" percent="0" rank="0" text="" dxfId="5">
      <formula>7</formula>
      <formula>8.4</formula>
    </cfRule>
    <cfRule type="cellIs" priority="104" operator="between" aboveAverage="0" equalAverage="0" bottom="0" percent="0" rank="0" text="" dxfId="6">
      <formula>5.5</formula>
      <formula>6.9</formula>
    </cfRule>
    <cfRule type="cellIs" priority="105" operator="lessThan" aboveAverage="0" equalAverage="0" bottom="0" percent="0" rank="0" text="" dxfId="7">
      <formula>5.5</formula>
    </cfRule>
  </conditionalFormatting>
  <conditionalFormatting sqref="T32">
    <cfRule type="cellIs" priority="106" operator="greaterThanOrEqual" aboveAverage="0" equalAverage="0" bottom="0" percent="0" rank="0" text="" dxfId="4">
      <formula>8.5</formula>
    </cfRule>
    <cfRule type="cellIs" priority="107" operator="between" aboveAverage="0" equalAverage="0" bottom="0" percent="0" rank="0" text="" dxfId="5">
      <formula>7</formula>
      <formula>8.4</formula>
    </cfRule>
    <cfRule type="cellIs" priority="108" operator="between" aboveAverage="0" equalAverage="0" bottom="0" percent="0" rank="0" text="" dxfId="6">
      <formula>5.5</formula>
      <formula>6.9</formula>
    </cfRule>
    <cfRule type="cellIs" priority="109" operator="lessThan" aboveAverage="0" equalAverage="0" bottom="0" percent="0" rank="0" text="" dxfId="7">
      <formula>5.5</formula>
    </cfRule>
  </conditionalFormatting>
  <conditionalFormatting sqref="T33">
    <cfRule type="cellIs" priority="110" operator="greaterThanOrEqual" aboveAverage="0" equalAverage="0" bottom="0" percent="0" rank="0" text="" dxfId="4">
      <formula>8.5</formula>
    </cfRule>
    <cfRule type="cellIs" priority="111" operator="between" aboveAverage="0" equalAverage="0" bottom="0" percent="0" rank="0" text="" dxfId="5">
      <formula>7</formula>
      <formula>8.4</formula>
    </cfRule>
    <cfRule type="cellIs" priority="112" operator="between" aboveAverage="0" equalAverage="0" bottom="0" percent="0" rank="0" text="" dxfId="6">
      <formula>5.5</formula>
      <formula>6.9</formula>
    </cfRule>
    <cfRule type="cellIs" priority="113" operator="lessThan" aboveAverage="0" equalAverage="0" bottom="0" percent="0" rank="0" text="" dxfId="7">
      <formula>5.5</formula>
    </cfRule>
  </conditionalFormatting>
  <conditionalFormatting sqref="T34">
    <cfRule type="cellIs" priority="114" operator="greaterThanOrEqual" aboveAverage="0" equalAverage="0" bottom="0" percent="0" rank="0" text="" dxfId="4">
      <formula>8.5</formula>
    </cfRule>
    <cfRule type="cellIs" priority="115" operator="between" aboveAverage="0" equalAverage="0" bottom="0" percent="0" rank="0" text="" dxfId="5">
      <formula>7</formula>
      <formula>8.4</formula>
    </cfRule>
    <cfRule type="cellIs" priority="116" operator="between" aboveAverage="0" equalAverage="0" bottom="0" percent="0" rank="0" text="" dxfId="6">
      <formula>5.5</formula>
      <formula>6.9</formula>
    </cfRule>
    <cfRule type="cellIs" priority="117" operator="lessThan" aboveAverage="0" equalAverage="0" bottom="0" percent="0" rank="0" text="" dxfId="7">
      <formula>5.5</formula>
    </cfRule>
  </conditionalFormatting>
  <conditionalFormatting sqref="T35">
    <cfRule type="cellIs" priority="118" operator="greaterThanOrEqual" aboveAverage="0" equalAverage="0" bottom="0" percent="0" rank="0" text="" dxfId="4">
      <formula>8.5</formula>
    </cfRule>
    <cfRule type="cellIs" priority="119" operator="between" aboveAverage="0" equalAverage="0" bottom="0" percent="0" rank="0" text="" dxfId="5">
      <formula>7</formula>
      <formula>8.4</formula>
    </cfRule>
    <cfRule type="cellIs" priority="120" operator="between" aboveAverage="0" equalAverage="0" bottom="0" percent="0" rank="0" text="" dxfId="6">
      <formula>5.5</formula>
      <formula>6.9</formula>
    </cfRule>
    <cfRule type="cellIs" priority="121" operator="lessThan" aboveAverage="0" equalAverage="0" bottom="0" percent="0" rank="0" text="" dxfId="7">
      <formula>5.5</formula>
    </cfRule>
  </conditionalFormatting>
  <conditionalFormatting sqref="T36">
    <cfRule type="cellIs" priority="122" operator="greaterThanOrEqual" aboveAverage="0" equalAverage="0" bottom="0" percent="0" rank="0" text="" dxfId="4">
      <formula>8.5</formula>
    </cfRule>
    <cfRule type="cellIs" priority="123" operator="between" aboveAverage="0" equalAverage="0" bottom="0" percent="0" rank="0" text="" dxfId="5">
      <formula>7</formula>
      <formula>8.4</formula>
    </cfRule>
    <cfRule type="cellIs" priority="124" operator="between" aboveAverage="0" equalAverage="0" bottom="0" percent="0" rank="0" text="" dxfId="6">
      <formula>5.5</formula>
      <formula>6.9</formula>
    </cfRule>
    <cfRule type="cellIs" priority="125" operator="lessThan" aboveAverage="0" equalAverage="0" bottom="0" percent="0" rank="0" text="" dxfId="7">
      <formula>5.5</formula>
    </cfRule>
  </conditionalFormatting>
  <conditionalFormatting sqref="T37">
    <cfRule type="cellIs" priority="126" operator="greaterThanOrEqual" aboveAverage="0" equalAverage="0" bottom="0" percent="0" rank="0" text="" dxfId="4">
      <formula>8.5</formula>
    </cfRule>
    <cfRule type="cellIs" priority="127" operator="between" aboveAverage="0" equalAverage="0" bottom="0" percent="0" rank="0" text="" dxfId="5">
      <formula>7</formula>
      <formula>8.4</formula>
    </cfRule>
    <cfRule type="cellIs" priority="128" operator="between" aboveAverage="0" equalAverage="0" bottom="0" percent="0" rank="0" text="" dxfId="6">
      <formula>5.5</formula>
      <formula>6.9</formula>
    </cfRule>
    <cfRule type="cellIs" priority="129" operator="lessThan" aboveAverage="0" equalAverage="0" bottom="0" percent="0" rank="0" text="" dxfId="7">
      <formula>5.5</formula>
    </cfRule>
  </conditionalFormatting>
  <conditionalFormatting sqref="T38">
    <cfRule type="cellIs" priority="130" operator="greaterThanOrEqual" aboveAverage="0" equalAverage="0" bottom="0" percent="0" rank="0" text="" dxfId="4">
      <formula>8.5</formula>
    </cfRule>
    <cfRule type="cellIs" priority="131" operator="between" aboveAverage="0" equalAverage="0" bottom="0" percent="0" rank="0" text="" dxfId="5">
      <formula>7</formula>
      <formula>8.4</formula>
    </cfRule>
    <cfRule type="cellIs" priority="132" operator="between" aboveAverage="0" equalAverage="0" bottom="0" percent="0" rank="0" text="" dxfId="6">
      <formula>5.5</formula>
      <formula>6.9</formula>
    </cfRule>
    <cfRule type="cellIs" priority="133" operator="lessThan" aboveAverage="0" equalAverage="0" bottom="0" percent="0" rank="0" text="" dxfId="7">
      <formula>5.5</formula>
    </cfRule>
  </conditionalFormatting>
  <conditionalFormatting sqref="T39">
    <cfRule type="cellIs" priority="134" operator="greaterThanOrEqual" aboveAverage="0" equalAverage="0" bottom="0" percent="0" rank="0" text="" dxfId="4">
      <formula>8.5</formula>
    </cfRule>
    <cfRule type="cellIs" priority="135" operator="between" aboveAverage="0" equalAverage="0" bottom="0" percent="0" rank="0" text="" dxfId="5">
      <formula>7</formula>
      <formula>8.4</formula>
    </cfRule>
    <cfRule type="cellIs" priority="136" operator="between" aboveAverage="0" equalAverage="0" bottom="0" percent="0" rank="0" text="" dxfId="6">
      <formula>5.5</formula>
      <formula>6.9</formula>
    </cfRule>
    <cfRule type="cellIs" priority="137" operator="lessThan" aboveAverage="0" equalAverage="0" bottom="0" percent="0" rank="0" text="" dxfId="7">
      <formula>5.5</formula>
    </cfRule>
  </conditionalFormatting>
  <conditionalFormatting sqref="T40">
    <cfRule type="cellIs" priority="138" operator="greaterThanOrEqual" aboveAverage="0" equalAverage="0" bottom="0" percent="0" rank="0" text="" dxfId="4">
      <formula>8.5</formula>
    </cfRule>
    <cfRule type="cellIs" priority="139" operator="between" aboveAverage="0" equalAverage="0" bottom="0" percent="0" rank="0" text="" dxfId="5">
      <formula>7</formula>
      <formula>8.4</formula>
    </cfRule>
    <cfRule type="cellIs" priority="140" operator="between" aboveAverage="0" equalAverage="0" bottom="0" percent="0" rank="0" text="" dxfId="6">
      <formula>5.5</formula>
      <formula>6.9</formula>
    </cfRule>
    <cfRule type="cellIs" priority="141" operator="lessThan" aboveAverage="0" equalAverage="0" bottom="0" percent="0" rank="0" text="" dxfId="7">
      <formula>5.5</formula>
    </cfRule>
  </conditionalFormatting>
  <conditionalFormatting sqref="T41">
    <cfRule type="cellIs" priority="142" operator="greaterThanOrEqual" aboveAverage="0" equalAverage="0" bottom="0" percent="0" rank="0" text="" dxfId="4">
      <formula>8.5</formula>
    </cfRule>
    <cfRule type="cellIs" priority="143" operator="between" aboveAverage="0" equalAverage="0" bottom="0" percent="0" rank="0" text="" dxfId="5">
      <formula>7</formula>
      <formula>8.4</formula>
    </cfRule>
    <cfRule type="cellIs" priority="144" operator="between" aboveAverage="0" equalAverage="0" bottom="0" percent="0" rank="0" text="" dxfId="6">
      <formula>5.5</formula>
      <formula>6.9</formula>
    </cfRule>
    <cfRule type="cellIs" priority="145" operator="lessThan" aboveAverage="0" equalAverage="0" bottom="0" percent="0" rank="0" text="" dxfId="7">
      <formula>5.5</formula>
    </cfRule>
  </conditionalFormatting>
  <conditionalFormatting sqref="T42">
    <cfRule type="cellIs" priority="146" operator="greaterThanOrEqual" aboveAverage="0" equalAverage="0" bottom="0" percent="0" rank="0" text="" dxfId="4">
      <formula>8.5</formula>
    </cfRule>
    <cfRule type="cellIs" priority="147" operator="between" aboveAverage="0" equalAverage="0" bottom="0" percent="0" rank="0" text="" dxfId="5">
      <formula>7</formula>
      <formula>8.4</formula>
    </cfRule>
    <cfRule type="cellIs" priority="148" operator="between" aboveAverage="0" equalAverage="0" bottom="0" percent="0" rank="0" text="" dxfId="6">
      <formula>5.5</formula>
      <formula>6.9</formula>
    </cfRule>
    <cfRule type="cellIs" priority="149" operator="lessThan" aboveAverage="0" equalAverage="0" bottom="0" percent="0" rank="0" text="" dxfId="7">
      <formula>5.5</formula>
    </cfRule>
  </conditionalFormatting>
  <conditionalFormatting sqref="T43">
    <cfRule type="cellIs" priority="150" operator="greaterThanOrEqual" aboveAverage="0" equalAverage="0" bottom="0" percent="0" rank="0" text="" dxfId="4">
      <formula>8.5</formula>
    </cfRule>
    <cfRule type="cellIs" priority="151" operator="between" aboveAverage="0" equalAverage="0" bottom="0" percent="0" rank="0" text="" dxfId="5">
      <formula>7</formula>
      <formula>8.4</formula>
    </cfRule>
    <cfRule type="cellIs" priority="152" operator="between" aboveAverage="0" equalAverage="0" bottom="0" percent="0" rank="0" text="" dxfId="6">
      <formula>5.5</formula>
      <formula>6.9</formula>
    </cfRule>
    <cfRule type="cellIs" priority="153" operator="lessThan" aboveAverage="0" equalAverage="0" bottom="0" percent="0" rank="0" text="" dxfId="7">
      <formula>5.5</formula>
    </cfRule>
  </conditionalFormatting>
  <conditionalFormatting sqref="T44">
    <cfRule type="cellIs" priority="154" operator="greaterThanOrEqual" aboveAverage="0" equalAverage="0" bottom="0" percent="0" rank="0" text="" dxfId="4">
      <formula>8.5</formula>
    </cfRule>
    <cfRule type="cellIs" priority="155" operator="between" aboveAverage="0" equalAverage="0" bottom="0" percent="0" rank="0" text="" dxfId="5">
      <formula>7</formula>
      <formula>8.4</formula>
    </cfRule>
    <cfRule type="cellIs" priority="156" operator="between" aboveAverage="0" equalAverage="0" bottom="0" percent="0" rank="0" text="" dxfId="6">
      <formula>5.5</formula>
      <formula>6.9</formula>
    </cfRule>
    <cfRule type="cellIs" priority="157" operator="lessThan" aboveAverage="0" equalAverage="0" bottom="0" percent="0" rank="0" text="" dxfId="7">
      <formula>5.5</formula>
    </cfRule>
  </conditionalFormatting>
  <conditionalFormatting sqref="T45">
    <cfRule type="cellIs" priority="158" operator="greaterThanOrEqual" aboveAverage="0" equalAverage="0" bottom="0" percent="0" rank="0" text="" dxfId="4">
      <formula>8.5</formula>
    </cfRule>
    <cfRule type="cellIs" priority="159" operator="between" aboveAverage="0" equalAverage="0" bottom="0" percent="0" rank="0" text="" dxfId="5">
      <formula>7</formula>
      <formula>8.4</formula>
    </cfRule>
    <cfRule type="cellIs" priority="160" operator="between" aboveAverage="0" equalAverage="0" bottom="0" percent="0" rank="0" text="" dxfId="6">
      <formula>5.5</formula>
      <formula>6.9</formula>
    </cfRule>
    <cfRule type="cellIs" priority="161" operator="lessThan" aboveAverage="0" equalAverage="0" bottom="0" percent="0" rank="0" text="" dxfId="7">
      <formula>5.5</formula>
    </cfRule>
  </conditionalFormatting>
  <conditionalFormatting sqref="T46">
    <cfRule type="cellIs" priority="162" operator="greaterThanOrEqual" aboveAverage="0" equalAverage="0" bottom="0" percent="0" rank="0" text="" dxfId="4">
      <formula>8.5</formula>
    </cfRule>
    <cfRule type="cellIs" priority="163" operator="between" aboveAverage="0" equalAverage="0" bottom="0" percent="0" rank="0" text="" dxfId="5">
      <formula>7</formula>
      <formula>8.4</formula>
    </cfRule>
    <cfRule type="cellIs" priority="164" operator="between" aboveAverage="0" equalAverage="0" bottom="0" percent="0" rank="0" text="" dxfId="6">
      <formula>5.5</formula>
      <formula>6.9</formula>
    </cfRule>
    <cfRule type="cellIs" priority="165" operator="lessThan" aboveAverage="0" equalAverage="0" bottom="0" percent="0" rank="0" text="" dxfId="7">
      <formula>5.5</formula>
    </cfRule>
  </conditionalFormatting>
  <conditionalFormatting sqref="T47">
    <cfRule type="cellIs" priority="166" operator="greaterThanOrEqual" aboveAverage="0" equalAverage="0" bottom="0" percent="0" rank="0" text="" dxfId="4">
      <formula>8.5</formula>
    </cfRule>
    <cfRule type="cellIs" priority="167" operator="between" aboveAverage="0" equalAverage="0" bottom="0" percent="0" rank="0" text="" dxfId="5">
      <formula>7</formula>
      <formula>8.4</formula>
    </cfRule>
    <cfRule type="cellIs" priority="168" operator="between" aboveAverage="0" equalAverage="0" bottom="0" percent="0" rank="0" text="" dxfId="6">
      <formula>5.5</formula>
      <formula>6.9</formula>
    </cfRule>
    <cfRule type="cellIs" priority="169" operator="lessThan" aboveAverage="0" equalAverage="0" bottom="0" percent="0" rank="0" text="" dxfId="7">
      <formula>5.5</formula>
    </cfRule>
  </conditionalFormatting>
  <conditionalFormatting sqref="T48">
    <cfRule type="cellIs" priority="170" operator="greaterThanOrEqual" aboveAverage="0" equalAverage="0" bottom="0" percent="0" rank="0" text="" dxfId="4">
      <formula>8.5</formula>
    </cfRule>
    <cfRule type="cellIs" priority="171" operator="between" aboveAverage="0" equalAverage="0" bottom="0" percent="0" rank="0" text="" dxfId="5">
      <formula>7</formula>
      <formula>8.4</formula>
    </cfRule>
    <cfRule type="cellIs" priority="172" operator="between" aboveAverage="0" equalAverage="0" bottom="0" percent="0" rank="0" text="" dxfId="6">
      <formula>5.5</formula>
      <formula>6.9</formula>
    </cfRule>
    <cfRule type="cellIs" priority="173" operator="lessThan" aboveAverage="0" equalAverage="0" bottom="0" percent="0" rank="0" text="" dxfId="7">
      <formula>5.5</formula>
    </cfRule>
  </conditionalFormatting>
  <conditionalFormatting sqref="T49">
    <cfRule type="cellIs" priority="174" operator="greaterThanOrEqual" aboveAverage="0" equalAverage="0" bottom="0" percent="0" rank="0" text="" dxfId="4">
      <formula>8.5</formula>
    </cfRule>
    <cfRule type="cellIs" priority="175" operator="between" aboveAverage="0" equalAverage="0" bottom="0" percent="0" rank="0" text="" dxfId="5">
      <formula>7</formula>
      <formula>8.4</formula>
    </cfRule>
    <cfRule type="cellIs" priority="176" operator="between" aboveAverage="0" equalAverage="0" bottom="0" percent="0" rank="0" text="" dxfId="6">
      <formula>5.5</formula>
      <formula>6.9</formula>
    </cfRule>
    <cfRule type="cellIs" priority="177" operator="lessThan" aboveAverage="0" equalAverage="0" bottom="0" percent="0" rank="0" text="" dxfId="7">
      <formula>5.5</formula>
    </cfRule>
  </conditionalFormatting>
  <conditionalFormatting sqref="T50">
    <cfRule type="cellIs" priority="178" operator="greaterThanOrEqual" aboveAverage="0" equalAverage="0" bottom="0" percent="0" rank="0" text="" dxfId="4">
      <formula>8.5</formula>
    </cfRule>
    <cfRule type="cellIs" priority="179" operator="between" aboveAverage="0" equalAverage="0" bottom="0" percent="0" rank="0" text="" dxfId="5">
      <formula>7</formula>
      <formula>8.4</formula>
    </cfRule>
    <cfRule type="cellIs" priority="180" operator="between" aboveAverage="0" equalAverage="0" bottom="0" percent="0" rank="0" text="" dxfId="6">
      <formula>5.5</formula>
      <formula>6.9</formula>
    </cfRule>
    <cfRule type="cellIs" priority="181" operator="lessThan" aboveAverage="0" equalAverage="0" bottom="0" percent="0" rank="0" text="" dxfId="7">
      <formula>5.5</formula>
    </cfRule>
  </conditionalFormatting>
  <conditionalFormatting sqref="T51">
    <cfRule type="cellIs" priority="182" operator="greaterThanOrEqual" aboveAverage="0" equalAverage="0" bottom="0" percent="0" rank="0" text="" dxfId="4">
      <formula>8.5</formula>
    </cfRule>
    <cfRule type="cellIs" priority="183" operator="between" aboveAverage="0" equalAverage="0" bottom="0" percent="0" rank="0" text="" dxfId="5">
      <formula>7</formula>
      <formula>8.4</formula>
    </cfRule>
    <cfRule type="cellIs" priority="184" operator="between" aboveAverage="0" equalAverage="0" bottom="0" percent="0" rank="0" text="" dxfId="6">
      <formula>5.5</formula>
      <formula>6.9</formula>
    </cfRule>
    <cfRule type="cellIs" priority="185" operator="lessThan" aboveAverage="0" equalAverage="0" bottom="0" percent="0" rank="0" text="" dxfId="7">
      <formula>5.5</formula>
    </cfRule>
  </conditionalFormatting>
  <conditionalFormatting sqref="T52">
    <cfRule type="cellIs" priority="186" operator="greaterThanOrEqual" aboveAverage="0" equalAverage="0" bottom="0" percent="0" rank="0" text="" dxfId="4">
      <formula>8.5</formula>
    </cfRule>
    <cfRule type="cellIs" priority="187" operator="between" aboveAverage="0" equalAverage="0" bottom="0" percent="0" rank="0" text="" dxfId="5">
      <formula>7</formula>
      <formula>8.4</formula>
    </cfRule>
    <cfRule type="cellIs" priority="188" operator="between" aboveAverage="0" equalAverage="0" bottom="0" percent="0" rank="0" text="" dxfId="6">
      <formula>5.5</formula>
      <formula>6.9</formula>
    </cfRule>
    <cfRule type="cellIs" priority="189" operator="lessThan" aboveAverage="0" equalAverage="0" bottom="0" percent="0" rank="0" text="" dxfId="7">
      <formula>5.5</formula>
    </cfRule>
  </conditionalFormatting>
  <conditionalFormatting sqref="T53">
    <cfRule type="cellIs" priority="190" operator="greaterThanOrEqual" aboveAverage="0" equalAverage="0" bottom="0" percent="0" rank="0" text="" dxfId="4">
      <formula>8.5</formula>
    </cfRule>
    <cfRule type="cellIs" priority="191" operator="between" aboveAverage="0" equalAverage="0" bottom="0" percent="0" rank="0" text="" dxfId="5">
      <formula>7</formula>
      <formula>8.4</formula>
    </cfRule>
    <cfRule type="cellIs" priority="192" operator="between" aboveAverage="0" equalAverage="0" bottom="0" percent="0" rank="0" text="" dxfId="6">
      <formula>5.5</formula>
      <formula>6.9</formula>
    </cfRule>
    <cfRule type="cellIs" priority="193" operator="lessThan" aboveAverage="0" equalAverage="0" bottom="0" percent="0" rank="0" text="" dxfId="7">
      <formula>5.5</formula>
    </cfRule>
  </conditionalFormatting>
  <conditionalFormatting sqref="T54">
    <cfRule type="cellIs" priority="194" operator="greaterThanOrEqual" aboveAverage="0" equalAverage="0" bottom="0" percent="0" rank="0" text="" dxfId="4">
      <formula>8.5</formula>
    </cfRule>
    <cfRule type="cellIs" priority="195" operator="between" aboveAverage="0" equalAverage="0" bottom="0" percent="0" rank="0" text="" dxfId="5">
      <formula>7</formula>
      <formula>8.4</formula>
    </cfRule>
    <cfRule type="cellIs" priority="196" operator="between" aboveAverage="0" equalAverage="0" bottom="0" percent="0" rank="0" text="" dxfId="6">
      <formula>5.5</formula>
      <formula>6.9</formula>
    </cfRule>
    <cfRule type="cellIs" priority="197" operator="lessThan" aboveAverage="0" equalAverage="0" bottom="0" percent="0" rank="0" text="" dxfId="7">
      <formula>5.5</formula>
    </cfRule>
  </conditionalFormatting>
  <conditionalFormatting sqref="T55">
    <cfRule type="cellIs" priority="198" operator="greaterThanOrEqual" aboveAverage="0" equalAverage="0" bottom="0" percent="0" rank="0" text="" dxfId="4">
      <formula>8.5</formula>
    </cfRule>
    <cfRule type="cellIs" priority="199" operator="between" aboveAverage="0" equalAverage="0" bottom="0" percent="0" rank="0" text="" dxfId="5">
      <formula>7</formula>
      <formula>8.4</formula>
    </cfRule>
    <cfRule type="cellIs" priority="200" operator="between" aboveAverage="0" equalAverage="0" bottom="0" percent="0" rank="0" text="" dxfId="6">
      <formula>5.5</formula>
      <formula>6.9</formula>
    </cfRule>
    <cfRule type="cellIs" priority="201" operator="lessThan" aboveAverage="0" equalAverage="0" bottom="0" percent="0" rank="0" text="" dxfId="7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35"/>
  </cols>
  <sheetData>
    <row r="2" customFormat="false" ht="22.05" hidden="false" customHeight="false" outlineLevel="0" collapsed="false">
      <c r="B2" s="31" t="s">
        <v>206</v>
      </c>
      <c r="C2" s="31"/>
      <c r="D2" s="31"/>
    </row>
    <row r="4" customFormat="false" ht="15" hidden="false" customHeight="false" outlineLevel="0" collapsed="false">
      <c r="B4" s="8" t="s">
        <v>207</v>
      </c>
      <c r="C4" s="8" t="s">
        <v>208</v>
      </c>
      <c r="D4" s="8" t="s">
        <v>209</v>
      </c>
    </row>
    <row r="5" customFormat="false" ht="15" hidden="false" customHeight="false" outlineLevel="0" collapsed="false">
      <c r="B5" s="47" t="s">
        <v>210</v>
      </c>
      <c r="C5" s="47" t="s">
        <v>211</v>
      </c>
      <c r="D5" s="47" t="s">
        <v>212</v>
      </c>
    </row>
    <row r="6" customFormat="false" ht="23.85" hidden="false" customHeight="false" outlineLevel="0" collapsed="false">
      <c r="B6" s="10" t="s">
        <v>213</v>
      </c>
      <c r="C6" s="10" t="s">
        <v>214</v>
      </c>
      <c r="D6" s="10" t="s">
        <v>215</v>
      </c>
    </row>
    <row r="7" customFormat="false" ht="23.85" hidden="false" customHeight="false" outlineLevel="0" collapsed="false">
      <c r="B7" s="47" t="s">
        <v>216</v>
      </c>
      <c r="C7" s="47" t="s">
        <v>217</v>
      </c>
      <c r="D7" s="47" t="s">
        <v>218</v>
      </c>
    </row>
    <row r="8" customFormat="false" ht="15" hidden="false" customHeight="false" outlineLevel="0" collapsed="false">
      <c r="B8" s="10" t="s">
        <v>219</v>
      </c>
      <c r="C8" s="10" t="s">
        <v>220</v>
      </c>
      <c r="D8" s="10" t="s">
        <v>221</v>
      </c>
    </row>
    <row r="9" customFormat="false" ht="23.85" hidden="false" customHeight="false" outlineLevel="0" collapsed="false">
      <c r="B9" s="47" t="s">
        <v>222</v>
      </c>
      <c r="C9" s="47" t="s">
        <v>223</v>
      </c>
      <c r="D9" s="47" t="s">
        <v>224</v>
      </c>
    </row>
    <row r="10" customFormat="false" ht="23.85" hidden="false" customHeight="false" outlineLevel="0" collapsed="false">
      <c r="B10" s="10" t="s">
        <v>225</v>
      </c>
      <c r="C10" s="10" t="s">
        <v>226</v>
      </c>
      <c r="D10" s="10" t="s">
        <v>227</v>
      </c>
    </row>
    <row r="11" customFormat="false" ht="23.85" hidden="false" customHeight="false" outlineLevel="0" collapsed="false">
      <c r="B11" s="47" t="s">
        <v>228</v>
      </c>
      <c r="C11" s="47" t="s">
        <v>229</v>
      </c>
      <c r="D11" s="47" t="s">
        <v>230</v>
      </c>
    </row>
    <row r="12" customFormat="false" ht="23.85" hidden="false" customHeight="false" outlineLevel="0" collapsed="false">
      <c r="B12" s="10" t="s">
        <v>231</v>
      </c>
      <c r="C12" s="10" t="s">
        <v>232</v>
      </c>
      <c r="D12" s="10" t="s">
        <v>233</v>
      </c>
    </row>
    <row r="15" customFormat="false" ht="17.35" hidden="false" customHeight="false" outlineLevel="0" collapsed="false">
      <c r="B15" s="48" t="s">
        <v>234</v>
      </c>
      <c r="C15" s="48"/>
      <c r="D15" s="48"/>
    </row>
    <row r="16" customFormat="false" ht="15" hidden="false" customHeight="false" outlineLevel="0" collapsed="false">
      <c r="B16" s="8" t="s">
        <v>16</v>
      </c>
      <c r="C16" s="8" t="s">
        <v>235</v>
      </c>
      <c r="D16" s="8" t="s">
        <v>236</v>
      </c>
    </row>
    <row r="17" customFormat="false" ht="15" hidden="false" customHeight="false" outlineLevel="0" collapsed="false">
      <c r="B17" s="14" t="s">
        <v>237</v>
      </c>
      <c r="C17" s="14" t="s">
        <v>238</v>
      </c>
      <c r="D17" s="14" t="s">
        <v>239</v>
      </c>
    </row>
    <row r="18" customFormat="false" ht="15" hidden="false" customHeight="false" outlineLevel="0" collapsed="false">
      <c r="B18" s="9" t="s">
        <v>240</v>
      </c>
      <c r="C18" s="9" t="s">
        <v>241</v>
      </c>
      <c r="D18" s="9" t="s">
        <v>242</v>
      </c>
    </row>
    <row r="19" customFormat="false" ht="23.85" hidden="false" customHeight="false" outlineLevel="0" collapsed="false">
      <c r="B19" s="14" t="s">
        <v>243</v>
      </c>
      <c r="C19" s="14" t="s">
        <v>238</v>
      </c>
      <c r="D19" s="14" t="s">
        <v>239</v>
      </c>
    </row>
    <row r="20" customFormat="false" ht="15" hidden="false" customHeight="false" outlineLevel="0" collapsed="false">
      <c r="B20" s="9" t="s">
        <v>244</v>
      </c>
      <c r="C20" s="9" t="s">
        <v>245</v>
      </c>
      <c r="D20" s="9" t="s">
        <v>246</v>
      </c>
    </row>
    <row r="21" customFormat="false" ht="23.85" hidden="false" customHeight="false" outlineLevel="0" collapsed="false">
      <c r="B21" s="14" t="s">
        <v>247</v>
      </c>
      <c r="C21" s="14" t="s">
        <v>248</v>
      </c>
      <c r="D21" s="14" t="s">
        <v>249</v>
      </c>
    </row>
    <row r="22" customFormat="false" ht="15" hidden="false" customHeight="false" outlineLevel="0" collapsed="false">
      <c r="B22" s="9" t="s">
        <v>250</v>
      </c>
      <c r="C22" s="9" t="s">
        <v>251</v>
      </c>
      <c r="D22" s="9" t="s">
        <v>242</v>
      </c>
    </row>
    <row r="23" customFormat="false" ht="15" hidden="false" customHeight="false" outlineLevel="0" collapsed="false">
      <c r="B23" s="49" t="s">
        <v>252</v>
      </c>
      <c r="C23" s="49" t="s">
        <v>253</v>
      </c>
      <c r="D23" s="49" t="s">
        <v>254</v>
      </c>
    </row>
  </sheetData>
  <mergeCells count="2">
    <mergeCell ref="B2:D2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2026-03-19T03:56:56Z</dcterms:created>
  <dc:creator>openpyxl</dc:creator>
  <dc:description/>
  <dc:language>en-US</dc:language>
  <cp:lastModifiedBy/>
  <dcterms:modified xsi:type="dcterms:W3CDTF">2026-03-19T03:56:56Z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